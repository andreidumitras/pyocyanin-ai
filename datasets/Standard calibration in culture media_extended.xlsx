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ndrei/Work/PhD/pyocyanin-ai/datasets/"/>
    </mc:Choice>
  </mc:AlternateContent>
  <xr:revisionPtr revIDLastSave="0" documentId="13_ncr:1_{853EF25A-9F8A-6042-BAF0-9773F99850BB}" xr6:coauthVersionLast="47" xr6:coauthVersionMax="47" xr10:uidLastSave="{00000000-0000-0000-0000-000000000000}"/>
  <bookViews>
    <workbookView xWindow="0" yWindow="660" windowWidth="17260" windowHeight="21680" activeTab="1" xr2:uid="{00000000-000D-0000-FFFF-FFFF00000000}"/>
  </bookViews>
  <sheets>
    <sheet name="CC" sheetId="1" r:id="rId1"/>
    <sheet name="Raw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S16" i="1"/>
  <c r="S17" i="1"/>
  <c r="R17" i="1"/>
  <c r="S15" i="1"/>
  <c r="R15" i="1"/>
  <c r="S14" i="1"/>
  <c r="R14" i="1"/>
  <c r="G19" i="1"/>
  <c r="F21" i="1"/>
  <c r="F28" i="1"/>
  <c r="G28" i="1" s="1"/>
  <c r="F27" i="1"/>
  <c r="G27" i="1" s="1"/>
  <c r="F26" i="1"/>
  <c r="G26" i="1" s="1"/>
  <c r="F25" i="1"/>
  <c r="G25" i="1" s="1"/>
  <c r="F23" i="1"/>
  <c r="G23" i="1"/>
  <c r="F18" i="1"/>
  <c r="S13" i="1"/>
  <c r="R13" i="1"/>
  <c r="F13" i="1"/>
  <c r="F12" i="1"/>
  <c r="G12" i="1" s="1"/>
  <c r="H12" i="1" s="1"/>
  <c r="S7" i="1"/>
  <c r="S8" i="1"/>
  <c r="S9" i="1"/>
  <c r="S10" i="1"/>
  <c r="S11" i="1"/>
  <c r="S12" i="1"/>
  <c r="R7" i="1"/>
  <c r="R8" i="1"/>
  <c r="R9" i="1"/>
  <c r="R10" i="1"/>
  <c r="R11" i="1"/>
  <c r="R12" i="1"/>
  <c r="S6" i="1"/>
  <c r="R6" i="1"/>
  <c r="F15" i="1"/>
  <c r="F14" i="1"/>
  <c r="F11" i="1"/>
  <c r="F9" i="1"/>
  <c r="F7" i="1"/>
  <c r="G4" i="1"/>
  <c r="F2" i="1"/>
  <c r="F10" i="1"/>
  <c r="G10" i="1" s="1"/>
  <c r="H10" i="1" s="1"/>
  <c r="F8" i="1"/>
  <c r="G8" i="1" s="1"/>
  <c r="F6" i="1"/>
  <c r="D7" i="1" l="1"/>
  <c r="G9" i="1"/>
  <c r="H9" i="1" s="1"/>
  <c r="D15" i="1"/>
  <c r="G11" i="1"/>
  <c r="H11" i="1" s="1"/>
  <c r="G6" i="1"/>
  <c r="H6" i="1" s="1"/>
  <c r="G14" i="1"/>
  <c r="H14" i="1" s="1"/>
  <c r="H8" i="1"/>
  <c r="D11" i="1"/>
  <c r="G7" i="1"/>
  <c r="H7" i="1" s="1"/>
  <c r="G15" i="1"/>
  <c r="H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Tataru</author>
  </authors>
  <commentList>
    <comment ref="A1" authorId="0" shapeId="0" xr:uid="{05996300-0F43-41A6-A39B-CA64091C79BF}">
      <text>
        <r>
          <rPr>
            <b/>
            <sz val="9"/>
            <color indexed="81"/>
            <rFont val="Tahoma"/>
            <family val="2"/>
          </rPr>
          <t>Ana Tataru:</t>
        </r>
        <r>
          <rPr>
            <sz val="9"/>
            <color indexed="81"/>
            <rFont val="Tahoma"/>
            <family val="2"/>
          </rPr>
          <t xml:space="preserve">
Only culture media (MH Mueller Hinton broth)
V column (potential) is the same for every test (Ox axis)</t>
        </r>
      </text>
    </comment>
    <comment ref="C1" authorId="0" shapeId="0" xr:uid="{1700161A-C6B7-4A23-B41A-AD5750F7F71C}">
      <text>
        <r>
          <rPr>
            <b/>
            <sz val="9"/>
            <color rgb="FF000000"/>
            <rFont val="Tahoma"/>
            <family val="2"/>
          </rPr>
          <t>Ana Tataru: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Spiked sample +100/50/25…uM PYO standard 
</t>
        </r>
        <r>
          <rPr>
            <sz val="9"/>
            <color rgb="FF000000"/>
            <rFont val="Tahoma"/>
            <family val="2"/>
          </rPr>
          <t>3 tests each for the same concentration (except 2.5 where there are only 2 tests)</t>
        </r>
      </text>
    </comment>
    <comment ref="B2" authorId="0" shapeId="0" xr:uid="{3B218B17-4BE8-42A7-A7DA-F40A2635AB4C}">
      <text>
        <r>
          <rPr>
            <b/>
            <sz val="9"/>
            <color rgb="FF000000"/>
            <rFont val="Tahoma"/>
            <family val="2"/>
          </rPr>
          <t>Ana Tataru: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Oy axis </t>
        </r>
      </text>
    </comment>
  </commentList>
</comments>
</file>

<file path=xl/sharedStrings.xml><?xml version="1.0" encoding="utf-8"?>
<sst xmlns="http://schemas.openxmlformats.org/spreadsheetml/2006/main" count="79" uniqueCount="29">
  <si>
    <t>Preparation</t>
  </si>
  <si>
    <t xml:space="preserve">Stoc </t>
  </si>
  <si>
    <t>Stoc int</t>
  </si>
  <si>
    <t>uM</t>
  </si>
  <si>
    <t>Vol</t>
  </si>
  <si>
    <t xml:space="preserve">Vol </t>
  </si>
  <si>
    <t>uL</t>
  </si>
  <si>
    <t>Stoc</t>
  </si>
  <si>
    <t>MC</t>
  </si>
  <si>
    <t>Vol final</t>
  </si>
  <si>
    <t>I/uA</t>
  </si>
  <si>
    <t>Average</t>
  </si>
  <si>
    <t>Stdev</t>
  </si>
  <si>
    <t>V</t>
  </si>
  <si>
    <t>µA</t>
  </si>
  <si>
    <t>Pyo 100 uM_MH - moving average baseline</t>
  </si>
  <si>
    <t>Pyo 50 uM_MH - moving average baseline</t>
  </si>
  <si>
    <t>Pyo 25 uM_MH - moving average baseline</t>
  </si>
  <si>
    <t>Pyo 15 uM_MH - moving average baseline</t>
  </si>
  <si>
    <t>Pyo 10 uM_MH - moving average baseline</t>
  </si>
  <si>
    <t>Pyo 5 uM_MH - moving average baseline</t>
  </si>
  <si>
    <t>Pyo 1 uM_MH - moving average baseline</t>
  </si>
  <si>
    <t>Pyo 2,5 uM_MH - moving average baseline</t>
  </si>
  <si>
    <t>Pyo 7.5 uM_MH - moving average baseline</t>
  </si>
  <si>
    <t>Pyo 0.5 uM_MH - moving average baseline</t>
  </si>
  <si>
    <t>E0_Blank_culture media MH  - moving average baseline</t>
  </si>
  <si>
    <t>Pyo 0.25 uM_MH - moving average baseline</t>
  </si>
  <si>
    <t>Pyo 0.1 uM_MH - moving average baseline</t>
  </si>
  <si>
    <t>micro Molari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</si>
</sst>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2" fillId="4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1" xfId="0" applyBorder="1"/>
    <xf numFmtId="0" fontId="0" fillId="5" borderId="1" xfId="0" applyFill="1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13" borderId="1" xfId="0" applyFill="1" applyBorder="1"/>
    <xf numFmtId="0" fontId="8" fillId="0" borderId="0" xfId="0" applyFont="1"/>
    <xf numFmtId="0" fontId="0" fillId="5" borderId="0" xfId="0" applyFill="1" applyAlignment="1">
      <alignment horizontal="center" wrapText="1"/>
    </xf>
    <xf numFmtId="0" fontId="0" fillId="14" borderId="0" xfId="0" applyFill="1" applyAlignment="1">
      <alignment horizontal="center"/>
    </xf>
    <xf numFmtId="0" fontId="0" fillId="8" borderId="0" xfId="0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10" borderId="0" xfId="0" applyFill="1" applyAlignment="1">
      <alignment horizontal="center" wrapText="1"/>
    </xf>
    <xf numFmtId="0" fontId="0" fillId="12" borderId="0" xfId="0" applyFill="1" applyAlignment="1">
      <alignment horizontal="center" wrapText="1"/>
    </xf>
    <xf numFmtId="0" fontId="0" fillId="11" borderId="0" xfId="0" applyFill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708333333333336"/>
          <c:w val="0.8838635170603674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CC!$K$6:$K$17</c:f>
              <c:numCache>
                <c:formatCode>General</c:formatCode>
                <c:ptCount val="12"/>
                <c:pt idx="0">
                  <c:v>100</c:v>
                </c:pt>
                <c:pt idx="1">
                  <c:v>50</c:v>
                </c:pt>
                <c:pt idx="2">
                  <c:v>25</c:v>
                </c:pt>
                <c:pt idx="3">
                  <c:v>15</c:v>
                </c:pt>
                <c:pt idx="4">
                  <c:v>10</c:v>
                </c:pt>
                <c:pt idx="5">
                  <c:v>7.5</c:v>
                </c:pt>
                <c:pt idx="6">
                  <c:v>5</c:v>
                </c:pt>
                <c:pt idx="7">
                  <c:v>2.5</c:v>
                </c:pt>
                <c:pt idx="8">
                  <c:v>1</c:v>
                </c:pt>
                <c:pt idx="9">
                  <c:v>0.5</c:v>
                </c:pt>
                <c:pt idx="10">
                  <c:v>0.25</c:v>
                </c:pt>
                <c:pt idx="11">
                  <c:v>0.1</c:v>
                </c:pt>
              </c:numCache>
            </c:numRef>
          </c:xVal>
          <c:yVal>
            <c:numRef>
              <c:f>CC!$R$6:$R$17</c:f>
              <c:numCache>
                <c:formatCode>General</c:formatCode>
                <c:ptCount val="12"/>
                <c:pt idx="0">
                  <c:v>34.350999999999999</c:v>
                </c:pt>
                <c:pt idx="1">
                  <c:v>22.819666666666667</c:v>
                </c:pt>
                <c:pt idx="2">
                  <c:v>11.285666666666666</c:v>
                </c:pt>
                <c:pt idx="3">
                  <c:v>6.1103333333333341</c:v>
                </c:pt>
                <c:pt idx="4">
                  <c:v>4.0446666666666662</c:v>
                </c:pt>
                <c:pt idx="5">
                  <c:v>2.7520000000000002</c:v>
                </c:pt>
                <c:pt idx="6">
                  <c:v>1.6900000000000002</c:v>
                </c:pt>
                <c:pt idx="7">
                  <c:v>0.76100000000000001</c:v>
                </c:pt>
                <c:pt idx="8">
                  <c:v>0.30433333333333334</c:v>
                </c:pt>
                <c:pt idx="9">
                  <c:v>0.1265</c:v>
                </c:pt>
                <c:pt idx="10">
                  <c:v>6.4666666666666664E-2</c:v>
                </c:pt>
                <c:pt idx="11">
                  <c:v>1.9200000000000002E-2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C-45DA-8E08-A24848DBB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182536"/>
        <c:axId val="754185056"/>
      </c:scatterChart>
      <c:valAx>
        <c:axId val="754182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185056"/>
        <c:crosses val="autoZero"/>
        <c:crossBetween val="midCat"/>
      </c:valAx>
      <c:valAx>
        <c:axId val="75418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182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961614173228347"/>
                  <c:y val="-0.153194444444444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CC!$K$8:$K$15</c:f>
              <c:numCache>
                <c:formatCode>General</c:formatCode>
                <c:ptCount val="8"/>
                <c:pt idx="0">
                  <c:v>25</c:v>
                </c:pt>
                <c:pt idx="1">
                  <c:v>15</c:v>
                </c:pt>
                <c:pt idx="2">
                  <c:v>10</c:v>
                </c:pt>
                <c:pt idx="3">
                  <c:v>7.5</c:v>
                </c:pt>
                <c:pt idx="4">
                  <c:v>5</c:v>
                </c:pt>
                <c:pt idx="5">
                  <c:v>2.5</c:v>
                </c:pt>
                <c:pt idx="6">
                  <c:v>1</c:v>
                </c:pt>
                <c:pt idx="7">
                  <c:v>0.5</c:v>
                </c:pt>
              </c:numCache>
            </c:numRef>
          </c:xVal>
          <c:yVal>
            <c:numRef>
              <c:f>CC!$R$8:$R$15</c:f>
              <c:numCache>
                <c:formatCode>General</c:formatCode>
                <c:ptCount val="8"/>
                <c:pt idx="0">
                  <c:v>11.285666666666666</c:v>
                </c:pt>
                <c:pt idx="1">
                  <c:v>6.1103333333333341</c:v>
                </c:pt>
                <c:pt idx="2">
                  <c:v>4.0446666666666662</c:v>
                </c:pt>
                <c:pt idx="3">
                  <c:v>2.7520000000000002</c:v>
                </c:pt>
                <c:pt idx="4">
                  <c:v>1.6900000000000002</c:v>
                </c:pt>
                <c:pt idx="5">
                  <c:v>0.76100000000000001</c:v>
                </c:pt>
                <c:pt idx="6">
                  <c:v>0.30433333333333334</c:v>
                </c:pt>
                <c:pt idx="7">
                  <c:v>0.1265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B7-4870-9FCB-40B325185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582688"/>
        <c:axId val="696578368"/>
      </c:scatterChart>
      <c:valAx>
        <c:axId val="69658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578368"/>
        <c:crosses val="autoZero"/>
        <c:crossBetween val="midCat"/>
      </c:valAx>
      <c:valAx>
        <c:axId val="69657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58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9171697287839016E-2"/>
                  <c:y val="-0.143935185185185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CC!$K$8:$K$17</c:f>
              <c:numCache>
                <c:formatCode>General</c:formatCode>
                <c:ptCount val="10"/>
                <c:pt idx="0">
                  <c:v>25</c:v>
                </c:pt>
                <c:pt idx="1">
                  <c:v>15</c:v>
                </c:pt>
                <c:pt idx="2">
                  <c:v>10</c:v>
                </c:pt>
                <c:pt idx="3">
                  <c:v>7.5</c:v>
                </c:pt>
                <c:pt idx="4">
                  <c:v>5</c:v>
                </c:pt>
                <c:pt idx="5">
                  <c:v>2.5</c:v>
                </c:pt>
                <c:pt idx="6">
                  <c:v>1</c:v>
                </c:pt>
                <c:pt idx="7">
                  <c:v>0.5</c:v>
                </c:pt>
                <c:pt idx="8">
                  <c:v>0.25</c:v>
                </c:pt>
                <c:pt idx="9">
                  <c:v>0.1</c:v>
                </c:pt>
              </c:numCache>
            </c:numRef>
          </c:xVal>
          <c:yVal>
            <c:numRef>
              <c:f>CC!$R$8:$R$17</c:f>
              <c:numCache>
                <c:formatCode>General</c:formatCode>
                <c:ptCount val="10"/>
                <c:pt idx="0">
                  <c:v>11.285666666666666</c:v>
                </c:pt>
                <c:pt idx="1">
                  <c:v>6.1103333333333341</c:v>
                </c:pt>
                <c:pt idx="2">
                  <c:v>4.0446666666666662</c:v>
                </c:pt>
                <c:pt idx="3">
                  <c:v>2.7520000000000002</c:v>
                </c:pt>
                <c:pt idx="4">
                  <c:v>1.6900000000000002</c:v>
                </c:pt>
                <c:pt idx="5">
                  <c:v>0.76100000000000001</c:v>
                </c:pt>
                <c:pt idx="6">
                  <c:v>0.30433333333333334</c:v>
                </c:pt>
                <c:pt idx="7">
                  <c:v>0.1265</c:v>
                </c:pt>
                <c:pt idx="8">
                  <c:v>6.4666666666666664E-2</c:v>
                </c:pt>
                <c:pt idx="9">
                  <c:v>1.9200000000000002E-2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07-4666-8882-1DC93064D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222568"/>
        <c:axId val="716220768"/>
      </c:scatterChart>
      <c:valAx>
        <c:axId val="716222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20768"/>
        <c:crosses val="autoZero"/>
        <c:crossBetween val="midCat"/>
      </c:valAx>
      <c:valAx>
        <c:axId val="71622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22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97631</xdr:colOff>
      <xdr:row>2</xdr:row>
      <xdr:rowOff>14288</xdr:rowOff>
    </xdr:from>
    <xdr:to>
      <xdr:col>28</xdr:col>
      <xdr:colOff>135731</xdr:colOff>
      <xdr:row>17</xdr:row>
      <xdr:rowOff>42863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EFB7F3-545F-8876-C157-BFAABF896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88105</xdr:colOff>
      <xdr:row>17</xdr:row>
      <xdr:rowOff>141288</xdr:rowOff>
    </xdr:from>
    <xdr:to>
      <xdr:col>28</xdr:col>
      <xdr:colOff>126205</xdr:colOff>
      <xdr:row>33</xdr:row>
      <xdr:rowOff>168805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DF8534-E076-4834-E889-28783CC00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650168</xdr:colOff>
      <xdr:row>19</xdr:row>
      <xdr:rowOff>146780</xdr:rowOff>
    </xdr:from>
    <xdr:to>
      <xdr:col>18</xdr:col>
      <xdr:colOff>57502</xdr:colOff>
      <xdr:row>35</xdr:row>
      <xdr:rowOff>6646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D1DFC5-6F8A-FC44-B309-592ACEE67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28"/>
  <sheetViews>
    <sheetView topLeftCell="J1" zoomScale="144" zoomScaleNormal="153" workbookViewId="0">
      <selection activeCell="L6" sqref="L6"/>
    </sheetView>
  </sheetViews>
  <sheetFormatPr baseColWidth="10" defaultColWidth="8.83203125" defaultRowHeight="15" x14ac:dyDescent="0.2"/>
  <cols>
    <col min="2" max="2" width="11.5" customWidth="1"/>
    <col min="11" max="11" width="13.33203125" customWidth="1"/>
  </cols>
  <sheetData>
    <row r="1" spans="2:19" x14ac:dyDescent="0.2">
      <c r="B1" t="s">
        <v>0</v>
      </c>
      <c r="E1" t="s">
        <v>3</v>
      </c>
      <c r="F1" t="s">
        <v>6</v>
      </c>
    </row>
    <row r="2" spans="2:19" x14ac:dyDescent="0.2">
      <c r="D2" s="1" t="s">
        <v>1</v>
      </c>
      <c r="E2" s="1">
        <v>11900</v>
      </c>
      <c r="F2" s="1">
        <f>E4*F4/E2</f>
        <v>8.4033613445378155</v>
      </c>
    </row>
    <row r="4" spans="2:19" x14ac:dyDescent="0.2">
      <c r="D4" s="8" t="s">
        <v>2</v>
      </c>
      <c r="E4" s="8">
        <v>1000</v>
      </c>
      <c r="F4" s="8">
        <v>100</v>
      </c>
      <c r="G4">
        <f>100-8.4</f>
        <v>91.6</v>
      </c>
    </row>
    <row r="5" spans="2:19" x14ac:dyDescent="0.2">
      <c r="F5" t="s">
        <v>7</v>
      </c>
      <c r="G5" t="s">
        <v>8</v>
      </c>
      <c r="H5" t="s">
        <v>9</v>
      </c>
      <c r="K5" t="s">
        <v>28</v>
      </c>
      <c r="L5" s="30" t="s">
        <v>10</v>
      </c>
      <c r="M5" s="30"/>
      <c r="N5" s="30"/>
      <c r="O5" s="15"/>
      <c r="P5" s="15"/>
      <c r="Q5" s="15"/>
      <c r="R5" s="13" t="s">
        <v>11</v>
      </c>
      <c r="S5" s="13" t="s">
        <v>12</v>
      </c>
    </row>
    <row r="6" spans="2:19" x14ac:dyDescent="0.2">
      <c r="C6" s="7" t="s">
        <v>2</v>
      </c>
      <c r="D6" s="7">
        <v>1000</v>
      </c>
      <c r="E6" s="2">
        <v>100</v>
      </c>
      <c r="F6" s="2">
        <f>E6*200/D6</f>
        <v>20</v>
      </c>
      <c r="G6">
        <f>200-F6</f>
        <v>180</v>
      </c>
      <c r="H6">
        <f>SUM(F6:G6)</f>
        <v>200</v>
      </c>
      <c r="K6" s="9">
        <v>100</v>
      </c>
      <c r="L6" s="12">
        <v>34.895000000000003</v>
      </c>
      <c r="M6" s="12">
        <v>34.158000000000001</v>
      </c>
      <c r="N6" s="12">
        <v>34</v>
      </c>
      <c r="O6" s="12"/>
      <c r="P6" s="12"/>
      <c r="Q6" s="12"/>
      <c r="R6" s="13">
        <f>AVERAGE(L6:N6)</f>
        <v>34.350999999999999</v>
      </c>
      <c r="S6" s="13">
        <f>STDEV(L6:N6)</f>
        <v>0.47769550971304042</v>
      </c>
    </row>
    <row r="7" spans="2:19" x14ac:dyDescent="0.2">
      <c r="C7" s="7" t="s">
        <v>4</v>
      </c>
      <c r="D7" s="7">
        <f>SUM(F6:F8)</f>
        <v>37.5</v>
      </c>
      <c r="E7" s="2">
        <v>50</v>
      </c>
      <c r="F7" s="2">
        <f>E7*250/D6</f>
        <v>12.5</v>
      </c>
      <c r="G7">
        <f>250-F7</f>
        <v>237.5</v>
      </c>
      <c r="H7">
        <f t="shared" ref="H7:H15" si="0">SUM(F7:G7)</f>
        <v>250</v>
      </c>
      <c r="K7" s="9">
        <v>50</v>
      </c>
      <c r="L7" s="12">
        <v>22.349</v>
      </c>
      <c r="M7" s="12">
        <v>23.123999999999999</v>
      </c>
      <c r="N7" s="12">
        <v>22.986000000000001</v>
      </c>
      <c r="O7" s="12"/>
      <c r="P7" s="12"/>
      <c r="Q7" s="12"/>
      <c r="R7" s="13">
        <f t="shared" ref="R7:R13" si="1">AVERAGE(L7:N7)</f>
        <v>22.819666666666667</v>
      </c>
      <c r="S7" s="13">
        <f t="shared" ref="S7:S13" si="2">STDEV(L7:N7)</f>
        <v>0.41340819214588986</v>
      </c>
    </row>
    <row r="8" spans="2:19" x14ac:dyDescent="0.2">
      <c r="E8" s="2">
        <v>25</v>
      </c>
      <c r="F8" s="2">
        <f>E8*200/D6</f>
        <v>5</v>
      </c>
      <c r="G8">
        <f>200-F8</f>
        <v>195</v>
      </c>
      <c r="H8">
        <f t="shared" si="0"/>
        <v>200</v>
      </c>
      <c r="K8" s="9">
        <v>25</v>
      </c>
      <c r="L8" s="12">
        <v>11.266999999999999</v>
      </c>
      <c r="M8" s="12">
        <v>11.265000000000001</v>
      </c>
      <c r="N8" s="12">
        <v>11.324999999999999</v>
      </c>
      <c r="O8" s="12"/>
      <c r="P8" s="12"/>
      <c r="Q8" s="12"/>
      <c r="R8" s="13">
        <f t="shared" si="1"/>
        <v>11.285666666666666</v>
      </c>
      <c r="S8" s="13">
        <f t="shared" si="2"/>
        <v>3.4078341117685054E-2</v>
      </c>
    </row>
    <row r="9" spans="2:19" x14ac:dyDescent="0.2">
      <c r="E9" s="2">
        <v>15</v>
      </c>
      <c r="F9" s="2">
        <f>E9*150/E6</f>
        <v>22.5</v>
      </c>
      <c r="G9">
        <f>150-F9</f>
        <v>127.5</v>
      </c>
      <c r="H9">
        <f>SUM(F9:G9)</f>
        <v>150</v>
      </c>
      <c r="K9" s="9">
        <v>15</v>
      </c>
      <c r="L9" s="12">
        <v>6.1710000000000003</v>
      </c>
      <c r="M9" s="12">
        <v>6.17</v>
      </c>
      <c r="N9" s="12">
        <v>5.99</v>
      </c>
      <c r="O9" s="12"/>
      <c r="P9" s="12"/>
      <c r="Q9" s="12"/>
      <c r="R9" s="13">
        <f t="shared" si="1"/>
        <v>6.1103333333333341</v>
      </c>
      <c r="S9" s="13">
        <f t="shared" si="2"/>
        <v>0.1042129230629931</v>
      </c>
    </row>
    <row r="10" spans="2:19" x14ac:dyDescent="0.2">
      <c r="C10" s="7" t="s">
        <v>2</v>
      </c>
      <c r="D10" s="7">
        <v>50</v>
      </c>
      <c r="E10" s="3">
        <v>10</v>
      </c>
      <c r="F10" s="3">
        <f>E10*200/D10</f>
        <v>40</v>
      </c>
      <c r="G10">
        <f>200-F10</f>
        <v>160</v>
      </c>
      <c r="H10">
        <f t="shared" si="0"/>
        <v>200</v>
      </c>
      <c r="K10" s="10">
        <v>10</v>
      </c>
      <c r="L10" s="12">
        <v>3.9980000000000002</v>
      </c>
      <c r="M10" s="12">
        <v>4.1319999999999997</v>
      </c>
      <c r="N10" s="12">
        <v>4.0039999999999996</v>
      </c>
      <c r="O10" s="12"/>
      <c r="P10" s="12"/>
      <c r="Q10" s="12"/>
      <c r="R10" s="13">
        <f t="shared" si="1"/>
        <v>4.0446666666666662</v>
      </c>
      <c r="S10" s="13">
        <f t="shared" si="2"/>
        <v>7.5692359808195386E-2</v>
      </c>
    </row>
    <row r="11" spans="2:19" x14ac:dyDescent="0.2">
      <c r="C11" s="7" t="s">
        <v>5</v>
      </c>
      <c r="D11" s="7">
        <f>SUM(F10:F12)</f>
        <v>82.5</v>
      </c>
      <c r="E11" s="3">
        <v>7.5</v>
      </c>
      <c r="F11" s="3">
        <f>E11*150/D10</f>
        <v>22.5</v>
      </c>
      <c r="G11">
        <f>150-F11</f>
        <v>127.5</v>
      </c>
      <c r="H11">
        <f>SUM(F11:G11)</f>
        <v>150</v>
      </c>
      <c r="K11" s="10">
        <v>7.5</v>
      </c>
      <c r="L11" s="12">
        <v>2.7650000000000001</v>
      </c>
      <c r="M11" s="12">
        <v>2.9249999999999998</v>
      </c>
      <c r="N11" s="12">
        <v>2.5659999999999998</v>
      </c>
      <c r="O11" s="12"/>
      <c r="P11" s="12"/>
      <c r="Q11" s="12"/>
      <c r="R11" s="13">
        <f t="shared" si="1"/>
        <v>2.7520000000000002</v>
      </c>
      <c r="S11" s="13">
        <f t="shared" si="2"/>
        <v>0.17985271752186566</v>
      </c>
    </row>
    <row r="12" spans="2:19" x14ac:dyDescent="0.2">
      <c r="E12" s="3">
        <v>5</v>
      </c>
      <c r="F12" s="3">
        <f>E12*200/D10</f>
        <v>20</v>
      </c>
      <c r="G12">
        <f>200-F12</f>
        <v>180</v>
      </c>
      <c r="H12">
        <f t="shared" si="0"/>
        <v>200</v>
      </c>
      <c r="K12" s="10">
        <v>5</v>
      </c>
      <c r="L12" s="12">
        <v>1.784</v>
      </c>
      <c r="M12" s="12">
        <v>1.6619999999999999</v>
      </c>
      <c r="N12" s="12">
        <v>1.6240000000000001</v>
      </c>
      <c r="O12" s="12"/>
      <c r="P12" s="12"/>
      <c r="Q12" s="12"/>
      <c r="R12" s="13">
        <f t="shared" si="1"/>
        <v>1.6900000000000002</v>
      </c>
      <c r="S12" s="13">
        <f t="shared" si="2"/>
        <v>8.3594258176025449E-2</v>
      </c>
    </row>
    <row r="13" spans="2:19" x14ac:dyDescent="0.2">
      <c r="E13" s="3">
        <v>2.5</v>
      </c>
      <c r="F13" s="3">
        <f>100*E13/E12</f>
        <v>50</v>
      </c>
      <c r="G13">
        <v>50</v>
      </c>
      <c r="H13">
        <v>100</v>
      </c>
      <c r="K13" s="10">
        <v>2.5</v>
      </c>
      <c r="L13" s="12">
        <v>0.73699999999999999</v>
      </c>
      <c r="M13" s="12">
        <v>0.78500000000000003</v>
      </c>
      <c r="N13" s="12"/>
      <c r="O13" s="12"/>
      <c r="P13" s="12"/>
      <c r="Q13" s="12"/>
      <c r="R13" s="13">
        <f t="shared" si="1"/>
        <v>0.76100000000000001</v>
      </c>
      <c r="S13" s="13">
        <f t="shared" si="2"/>
        <v>3.3941125496954314E-2</v>
      </c>
    </row>
    <row r="14" spans="2:19" x14ac:dyDescent="0.2">
      <c r="C14" s="6" t="s">
        <v>2</v>
      </c>
      <c r="D14" s="6">
        <v>10</v>
      </c>
      <c r="E14" s="4">
        <v>1</v>
      </c>
      <c r="F14" s="4">
        <f>E14*150/D14</f>
        <v>15</v>
      </c>
      <c r="G14">
        <f>150-F14</f>
        <v>135</v>
      </c>
      <c r="H14">
        <f t="shared" si="0"/>
        <v>150</v>
      </c>
      <c r="K14" s="11">
        <v>1</v>
      </c>
      <c r="L14" s="12">
        <v>0.27500000000000002</v>
      </c>
      <c r="M14" s="12">
        <v>0.26600000000000001</v>
      </c>
      <c r="N14" s="12">
        <v>0.26300000000000001</v>
      </c>
      <c r="O14" s="12">
        <v>0.34399999999999997</v>
      </c>
      <c r="P14" s="12">
        <v>0.3</v>
      </c>
      <c r="Q14" s="12">
        <v>0.378</v>
      </c>
      <c r="R14" s="13">
        <f>AVERAGE(L14:Q14)</f>
        <v>0.30433333333333334</v>
      </c>
      <c r="S14" s="13">
        <f>STDEV(L14:Q14)</f>
        <v>4.7026233813337107E-2</v>
      </c>
    </row>
    <row r="15" spans="2:19" x14ac:dyDescent="0.2">
      <c r="C15" s="6" t="s">
        <v>5</v>
      </c>
      <c r="D15" s="6">
        <f>SUM(F14:F15)</f>
        <v>22.5</v>
      </c>
      <c r="E15" s="5">
        <v>0.5</v>
      </c>
      <c r="F15" s="5">
        <f>E15*150/D14</f>
        <v>7.5</v>
      </c>
      <c r="G15">
        <f>150-F15</f>
        <v>142.5</v>
      </c>
      <c r="H15">
        <f t="shared" si="0"/>
        <v>150</v>
      </c>
      <c r="K15" s="11">
        <v>0.5</v>
      </c>
      <c r="L15" s="12">
        <v>0.126</v>
      </c>
      <c r="M15" s="12">
        <v>0.13100000000000001</v>
      </c>
      <c r="N15" s="12">
        <v>0.12</v>
      </c>
      <c r="O15" s="12">
        <v>0.122</v>
      </c>
      <c r="P15" s="12">
        <v>0.128</v>
      </c>
      <c r="Q15" s="12">
        <v>0.13200000000000001</v>
      </c>
      <c r="R15" s="13">
        <f>AVERAGE(L15:Q15)</f>
        <v>0.1265</v>
      </c>
      <c r="S15" s="13">
        <f>STDEV(L15:Q15)</f>
        <v>4.8062459362791703E-3</v>
      </c>
    </row>
    <row r="16" spans="2:19" x14ac:dyDescent="0.2">
      <c r="K16" s="4">
        <v>0.25</v>
      </c>
      <c r="L16" s="12">
        <v>6.5000000000000002E-2</v>
      </c>
      <c r="M16" s="12">
        <v>5.8999999999999997E-2</v>
      </c>
      <c r="N16" s="12">
        <v>7.0000000000000007E-2</v>
      </c>
      <c r="O16" s="12"/>
      <c r="P16" s="12"/>
      <c r="Q16" s="12"/>
      <c r="R16" s="13">
        <f>AVERAGE(L16:N16)</f>
        <v>6.4666666666666664E-2</v>
      </c>
      <c r="S16" s="13">
        <f t="shared" ref="S16:S17" si="3">STDEV(L16:Q16)</f>
        <v>5.5075705472861069E-3</v>
      </c>
    </row>
    <row r="17" spans="3:19" x14ac:dyDescent="0.2">
      <c r="E17" t="s">
        <v>3</v>
      </c>
      <c r="F17" t="s">
        <v>6</v>
      </c>
      <c r="K17" s="4">
        <v>0.1</v>
      </c>
      <c r="L17" s="12">
        <v>2.3E-2</v>
      </c>
      <c r="M17" s="12">
        <v>1.4999999999999999E-2</v>
      </c>
      <c r="N17" s="12">
        <v>1.9E-2</v>
      </c>
      <c r="O17" s="12">
        <v>1.7000000000000001E-2</v>
      </c>
      <c r="P17" s="12">
        <v>2.1999999999999999E-2</v>
      </c>
      <c r="Q17" s="12"/>
      <c r="R17" s="13">
        <f t="shared" ref="R17" si="4">AVERAGE(L17:Q17)</f>
        <v>1.9200000000000002E-2</v>
      </c>
      <c r="S17" s="13">
        <f t="shared" si="3"/>
        <v>3.3466401061363017E-3</v>
      </c>
    </row>
    <row r="18" spans="3:19" x14ac:dyDescent="0.2">
      <c r="D18" s="1" t="s">
        <v>1</v>
      </c>
      <c r="E18" s="1">
        <v>11900</v>
      </c>
      <c r="F18" s="1">
        <f>E19*F19/E18</f>
        <v>4.2016806722689077</v>
      </c>
    </row>
    <row r="19" spans="3:19" x14ac:dyDescent="0.2">
      <c r="D19" s="8" t="s">
        <v>2</v>
      </c>
      <c r="E19" s="17">
        <v>1000</v>
      </c>
      <c r="F19" s="8">
        <v>50</v>
      </c>
      <c r="G19">
        <f>50-8.4</f>
        <v>41.6</v>
      </c>
    </row>
    <row r="20" spans="3:19" x14ac:dyDescent="0.2">
      <c r="D20" s="8"/>
      <c r="E20" s="17"/>
      <c r="F20" s="8"/>
    </row>
    <row r="21" spans="3:19" x14ac:dyDescent="0.2">
      <c r="D21" s="8" t="s">
        <v>2</v>
      </c>
      <c r="E21" s="17">
        <v>100</v>
      </c>
      <c r="F21" s="8">
        <f>H21*E21/E19</f>
        <v>5</v>
      </c>
      <c r="G21" s="12">
        <v>45</v>
      </c>
      <c r="H21" s="12">
        <v>50</v>
      </c>
    </row>
    <row r="23" spans="3:19" x14ac:dyDescent="0.2">
      <c r="C23" s="7" t="s">
        <v>2</v>
      </c>
      <c r="E23" s="3">
        <v>5</v>
      </c>
      <c r="F23" s="3">
        <f>E23*H23/E21</f>
        <v>5</v>
      </c>
      <c r="G23" s="16">
        <f>H23-F23</f>
        <v>95</v>
      </c>
      <c r="H23" s="16">
        <v>100</v>
      </c>
    </row>
    <row r="25" spans="3:19" x14ac:dyDescent="0.2">
      <c r="E25" s="4">
        <v>1</v>
      </c>
      <c r="F25" s="4">
        <f>E25*H25/E23</f>
        <v>30</v>
      </c>
      <c r="G25" s="12">
        <f>H25-F25</f>
        <v>120</v>
      </c>
      <c r="H25" s="12">
        <v>150</v>
      </c>
    </row>
    <row r="26" spans="3:19" x14ac:dyDescent="0.2">
      <c r="E26" s="4">
        <v>0.5</v>
      </c>
      <c r="F26" s="4">
        <f>E26*H26/E23</f>
        <v>15</v>
      </c>
      <c r="G26" s="12">
        <f t="shared" ref="G26:G28" si="5">H26-F26</f>
        <v>135</v>
      </c>
      <c r="H26" s="12">
        <v>150</v>
      </c>
    </row>
    <row r="27" spans="3:19" x14ac:dyDescent="0.2">
      <c r="E27" s="4">
        <v>0.25</v>
      </c>
      <c r="F27" s="4">
        <f>E27*H27/E23</f>
        <v>7.5</v>
      </c>
      <c r="G27" s="12">
        <f t="shared" si="5"/>
        <v>142.5</v>
      </c>
      <c r="H27" s="12">
        <v>150</v>
      </c>
    </row>
    <row r="28" spans="3:19" x14ac:dyDescent="0.2">
      <c r="E28" s="4">
        <v>0.1</v>
      </c>
      <c r="F28" s="4">
        <f>E28*H28/E23</f>
        <v>5</v>
      </c>
      <c r="G28" s="12">
        <f t="shared" si="5"/>
        <v>245</v>
      </c>
      <c r="H28" s="12">
        <v>250</v>
      </c>
    </row>
  </sheetData>
  <mergeCells count="1">
    <mergeCell ref="L5:N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88D8E-64A4-4E45-B685-361B059F410F}">
  <dimension ref="A1:AP231"/>
  <sheetViews>
    <sheetView tabSelected="1" topLeftCell="S1" zoomScale="97" zoomScaleNormal="85" workbookViewId="0">
      <selection activeCell="A2" sqref="A2"/>
    </sheetView>
  </sheetViews>
  <sheetFormatPr baseColWidth="10" defaultColWidth="8.83203125" defaultRowHeight="15" x14ac:dyDescent="0.2"/>
  <sheetData>
    <row r="1" spans="1:42" ht="72.75" customHeight="1" x14ac:dyDescent="0.2">
      <c r="A1" s="21" t="s">
        <v>25</v>
      </c>
      <c r="B1" s="21"/>
      <c r="C1" s="22" t="s">
        <v>15</v>
      </c>
      <c r="D1" s="22"/>
      <c r="E1" s="22"/>
      <c r="F1" s="23" t="s">
        <v>16</v>
      </c>
      <c r="G1" s="23"/>
      <c r="H1" s="23"/>
      <c r="I1" s="24" t="s">
        <v>17</v>
      </c>
      <c r="J1" s="24"/>
      <c r="K1" s="24"/>
      <c r="L1" s="25" t="s">
        <v>18</v>
      </c>
      <c r="M1" s="25"/>
      <c r="N1" s="25"/>
      <c r="O1" s="20" t="s">
        <v>19</v>
      </c>
      <c r="P1" s="20"/>
      <c r="Q1" s="20"/>
      <c r="R1" s="26" t="s">
        <v>23</v>
      </c>
      <c r="S1" s="26"/>
      <c r="T1" s="26"/>
      <c r="U1" s="18" t="s">
        <v>20</v>
      </c>
      <c r="V1" s="18"/>
      <c r="W1" s="18"/>
      <c r="X1" s="28" t="s">
        <v>22</v>
      </c>
      <c r="Y1" s="28"/>
      <c r="Z1" s="27" t="s">
        <v>21</v>
      </c>
      <c r="AA1" s="27"/>
      <c r="AB1" s="27"/>
      <c r="AC1" s="29" t="s">
        <v>24</v>
      </c>
      <c r="AD1" s="29"/>
      <c r="AE1" s="29"/>
      <c r="AF1" s="29"/>
      <c r="AG1" s="29"/>
      <c r="AH1" s="29"/>
      <c r="AI1" s="18" t="s">
        <v>26</v>
      </c>
      <c r="AJ1" s="18"/>
      <c r="AK1" s="18"/>
      <c r="AL1" s="19" t="s">
        <v>27</v>
      </c>
      <c r="AM1" s="19"/>
      <c r="AN1" s="19"/>
      <c r="AO1" s="19"/>
      <c r="AP1" s="19"/>
    </row>
    <row r="2" spans="1:42" ht="16" x14ac:dyDescent="0.2">
      <c r="A2" t="s">
        <v>13</v>
      </c>
      <c r="B2" t="s">
        <v>14</v>
      </c>
      <c r="C2" s="14" t="s">
        <v>14</v>
      </c>
      <c r="D2" s="14" t="s">
        <v>14</v>
      </c>
      <c r="E2" s="14" t="s">
        <v>14</v>
      </c>
      <c r="F2" s="14" t="s">
        <v>14</v>
      </c>
      <c r="G2" s="14" t="s">
        <v>14</v>
      </c>
      <c r="H2" s="14" t="s">
        <v>14</v>
      </c>
      <c r="I2" s="14" t="s">
        <v>14</v>
      </c>
      <c r="J2" s="14" t="s">
        <v>14</v>
      </c>
      <c r="K2" s="14" t="s">
        <v>14</v>
      </c>
      <c r="L2" s="14" t="s">
        <v>14</v>
      </c>
      <c r="M2" s="14" t="s">
        <v>14</v>
      </c>
      <c r="N2" s="14" t="s">
        <v>14</v>
      </c>
      <c r="O2" s="14" t="s">
        <v>14</v>
      </c>
      <c r="P2" s="14" t="s">
        <v>14</v>
      </c>
      <c r="Q2" s="14" t="s">
        <v>14</v>
      </c>
      <c r="R2" s="14" t="s">
        <v>14</v>
      </c>
      <c r="S2" s="14" t="s">
        <v>14</v>
      </c>
      <c r="T2" s="14" t="s">
        <v>14</v>
      </c>
      <c r="U2" s="14" t="s">
        <v>14</v>
      </c>
      <c r="V2" s="14" t="s">
        <v>14</v>
      </c>
      <c r="W2" s="14" t="s">
        <v>14</v>
      </c>
      <c r="X2" s="14" t="s">
        <v>14</v>
      </c>
      <c r="Y2" s="14" t="s">
        <v>14</v>
      </c>
      <c r="Z2" s="14" t="s">
        <v>14</v>
      </c>
      <c r="AA2" s="14" t="s">
        <v>14</v>
      </c>
      <c r="AB2" s="14" t="s">
        <v>14</v>
      </c>
      <c r="AC2" s="14" t="s">
        <v>14</v>
      </c>
      <c r="AD2" s="14" t="s">
        <v>14</v>
      </c>
      <c r="AE2" s="14" t="s">
        <v>14</v>
      </c>
      <c r="AF2" t="s">
        <v>14</v>
      </c>
      <c r="AG2" t="s">
        <v>14</v>
      </c>
      <c r="AH2" t="s">
        <v>14</v>
      </c>
      <c r="AI2" t="s">
        <v>14</v>
      </c>
      <c r="AJ2" t="s">
        <v>14</v>
      </c>
      <c r="AK2" t="s">
        <v>14</v>
      </c>
      <c r="AL2" t="s">
        <v>14</v>
      </c>
      <c r="AM2" t="s">
        <v>14</v>
      </c>
      <c r="AN2" t="s">
        <v>14</v>
      </c>
      <c r="AO2" t="s">
        <v>14</v>
      </c>
      <c r="AP2" t="s">
        <v>14</v>
      </c>
    </row>
    <row r="3" spans="1:42" x14ac:dyDescent="0.2">
      <c r="A3">
        <v>-0.60009699999999999</v>
      </c>
      <c r="B3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">
      <c r="A4">
        <v>-0.59526199999999996</v>
      </c>
      <c r="B4">
        <v>6.3593392857142494E-2</v>
      </c>
      <c r="C4" s="14">
        <v>9.8655874999999282E-2</v>
      </c>
      <c r="D4" s="14">
        <v>0.10937374999999938</v>
      </c>
      <c r="E4" s="14">
        <v>0.11571849999999939</v>
      </c>
      <c r="F4" s="14">
        <v>8.2965681818180981E-2</v>
      </c>
      <c r="G4" s="14">
        <v>0.11062761363636264</v>
      </c>
      <c r="H4" s="14">
        <v>0.10423424999999908</v>
      </c>
      <c r="I4" s="14">
        <v>8.881224999999926E-2</v>
      </c>
      <c r="J4" s="14">
        <v>8.2303562499999261E-2</v>
      </c>
      <c r="K4" s="14">
        <v>7.4210687499999262E-2</v>
      </c>
      <c r="L4" s="14">
        <v>8.8046624999999379E-2</v>
      </c>
      <c r="M4" s="14">
        <v>5.3429562499999639E-2</v>
      </c>
      <c r="N4" s="14">
        <v>8.1975437499999249E-2</v>
      </c>
      <c r="O4" s="14">
        <v>7.3554531249999666E-2</v>
      </c>
      <c r="P4" s="14">
        <v>4.8380069444443841E-2</v>
      </c>
      <c r="Q4" s="14">
        <v>7.0182152777777396E-2</v>
      </c>
      <c r="R4" s="14">
        <v>6.4493652777777521E-2</v>
      </c>
      <c r="S4" s="14">
        <v>5.9038055555555302E-2</v>
      </c>
      <c r="T4" s="14">
        <v>4.9234196428570964E-2</v>
      </c>
      <c r="U4" s="14">
        <v>4.2478359374999775E-2</v>
      </c>
      <c r="V4" s="14">
        <v>6.0921736111110958E-2</v>
      </c>
      <c r="W4" s="14">
        <v>5.2568203124999768E-2</v>
      </c>
      <c r="X4" s="14">
        <v>6.1281160714285576E-2</v>
      </c>
      <c r="Y4" s="14">
        <v>6.3374821428571093E-2</v>
      </c>
      <c r="Z4" s="14">
        <v>6.1073611111110648E-2</v>
      </c>
      <c r="AA4" s="14">
        <v>6.5734166666666427E-2</v>
      </c>
      <c r="AB4" s="14">
        <v>6.8778437499999789E-2</v>
      </c>
      <c r="AC4" s="14">
        <v>4.5937499999999742E-2</v>
      </c>
      <c r="AD4" s="14">
        <v>5.7405160714285364E-2</v>
      </c>
      <c r="AE4" s="14">
        <v>5.4140624999999831E-2</v>
      </c>
      <c r="AF4">
        <v>9.7780749999999417E-2</v>
      </c>
      <c r="AG4">
        <v>7.9478749999999376E-2</v>
      </c>
      <c r="AH4">
        <v>7.5286041666666081E-2</v>
      </c>
      <c r="AI4">
        <v>7.583291666666625E-2</v>
      </c>
      <c r="AJ4">
        <v>7.6124749999999741E-2</v>
      </c>
      <c r="AK4">
        <v>7.9187249999999709E-2</v>
      </c>
      <c r="AL4">
        <v>8.3926666666666039E-2</v>
      </c>
      <c r="AM4">
        <v>7.8384999999999705E-2</v>
      </c>
      <c r="AN4">
        <v>0.11097864583333283</v>
      </c>
      <c r="AO4">
        <v>5.184349999999982E-2</v>
      </c>
      <c r="AP4">
        <v>6.675479166666598E-2</v>
      </c>
    </row>
    <row r="5" spans="1:42" x14ac:dyDescent="0.2">
      <c r="A5">
        <v>-0.59042699999999992</v>
      </c>
      <c r="B5">
        <v>5.4030749999999794E-2</v>
      </c>
      <c r="C5" s="14">
        <v>0.12131822499999934</v>
      </c>
      <c r="D5" s="14">
        <v>0.13072464999999944</v>
      </c>
      <c r="E5" s="14">
        <v>0.14800589999999914</v>
      </c>
      <c r="F5" s="14">
        <v>9.9351954545453758E-2</v>
      </c>
      <c r="G5" s="14">
        <v>0.12267865909090792</v>
      </c>
      <c r="H5" s="14">
        <v>0.11372794999999924</v>
      </c>
      <c r="I5" s="14">
        <v>9.0737149999999378E-2</v>
      </c>
      <c r="J5" s="14">
        <v>7.3225387499999295E-2</v>
      </c>
      <c r="K5" s="14">
        <v>7.5894962499999385E-2</v>
      </c>
      <c r="L5" s="14">
        <v>7.5665274999999532E-2</v>
      </c>
      <c r="M5" s="14">
        <v>6.2201387499999372E-2</v>
      </c>
      <c r="N5" s="14">
        <v>8.3966012499999465E-2</v>
      </c>
      <c r="O5" s="14">
        <v>5.3976343749999711E-2</v>
      </c>
      <c r="P5" s="14">
        <v>5.0932097222221806E-2</v>
      </c>
      <c r="Q5" s="14">
        <v>5.6255013888888539E-2</v>
      </c>
      <c r="R5" s="14">
        <v>5.3192513888888682E-2</v>
      </c>
      <c r="S5" s="14">
        <v>5.3253277777777441E-2</v>
      </c>
      <c r="T5" s="14">
        <v>2.832787499999978E-2</v>
      </c>
      <c r="U5" s="14">
        <v>4.2669703124999847E-2</v>
      </c>
      <c r="V5" s="14">
        <v>6.2890430555555543E-2</v>
      </c>
      <c r="W5" s="14">
        <v>4.209548437499977E-2</v>
      </c>
      <c r="X5" s="14">
        <v>5.0093624999999919E-2</v>
      </c>
      <c r="Y5" s="14">
        <v>5.5124749999999723E-2</v>
      </c>
      <c r="Z5" s="14">
        <v>4.9103055555555164E-2</v>
      </c>
      <c r="AA5" s="14">
        <v>4.582783333333329E-2</v>
      </c>
      <c r="AB5" s="14">
        <v>5.9189812499999772E-2</v>
      </c>
      <c r="AC5" s="14">
        <v>3.3512499999999945E-2</v>
      </c>
      <c r="AD5" s="14">
        <v>5.0968624999999768E-2</v>
      </c>
      <c r="AE5" s="14">
        <v>5.4796874999999967E-2</v>
      </c>
      <c r="AF5">
        <v>7.529304999999975E-2</v>
      </c>
      <c r="AG5">
        <v>4.1270249999999731E-2</v>
      </c>
      <c r="AH5">
        <v>7.0401458333333E-2</v>
      </c>
      <c r="AI5">
        <v>7.1166083333333185E-2</v>
      </c>
      <c r="AJ5">
        <v>5.4774649999999925E-2</v>
      </c>
      <c r="AK5">
        <v>5.4862149999999943E-2</v>
      </c>
      <c r="AL5">
        <v>6.5697333333333052E-2</v>
      </c>
      <c r="AM5">
        <v>6.0739000000000098E-2</v>
      </c>
      <c r="AN5">
        <v>7.977110416666644E-2</v>
      </c>
      <c r="AO5">
        <v>4.4580900000000034E-2</v>
      </c>
      <c r="AP5">
        <v>6.4056708333333212E-2</v>
      </c>
    </row>
    <row r="6" spans="1:42" x14ac:dyDescent="0.2">
      <c r="A6">
        <v>-0.585592</v>
      </c>
      <c r="B6">
        <v>3.3967449540944994E-2</v>
      </c>
      <c r="C6" s="14">
        <v>0.13698098913706525</v>
      </c>
      <c r="D6" s="14">
        <v>0.15207399806628308</v>
      </c>
      <c r="E6" s="14">
        <v>0.17329282723747341</v>
      </c>
      <c r="F6" s="14">
        <v>0.11573780365779585</v>
      </c>
      <c r="G6" s="14">
        <v>0.11372921204130493</v>
      </c>
      <c r="H6" s="14">
        <v>0.11972122360787818</v>
      </c>
      <c r="I6" s="14">
        <v>8.5661638312392263E-2</v>
      </c>
      <c r="J6" s="14">
        <v>8.5146723336434471E-2</v>
      </c>
      <c r="K6" s="14">
        <v>8.1078832032985826E-2</v>
      </c>
      <c r="L6" s="14">
        <v>6.6783521229511589E-2</v>
      </c>
      <c r="M6" s="14">
        <v>4.6472804769659426E-2</v>
      </c>
      <c r="N6" s="14">
        <v>9.6456174114574411E-2</v>
      </c>
      <c r="O6" s="14">
        <v>4.1397757568119031E-2</v>
      </c>
      <c r="P6" s="14">
        <v>4.2983697099999718E-2</v>
      </c>
      <c r="Q6" s="14">
        <v>4.5827511190963954E-2</v>
      </c>
      <c r="R6" s="14">
        <v>4.5390033811304242E-2</v>
      </c>
      <c r="S6" s="14">
        <v>3.3468106658853136E-2</v>
      </c>
      <c r="T6" s="14">
        <v>3.1922189224223407E-2</v>
      </c>
      <c r="U6" s="14">
        <v>4.2860680002972606E-2</v>
      </c>
      <c r="V6" s="14">
        <v>4.3858712180226855E-2</v>
      </c>
      <c r="W6" s="14">
        <v>4.3872402994286297E-2</v>
      </c>
      <c r="X6" s="14">
        <v>4.940574513431828E-2</v>
      </c>
      <c r="Y6" s="14">
        <v>5.2124348962602873E-2</v>
      </c>
      <c r="Z6" s="14">
        <v>4.763208560972898E-2</v>
      </c>
      <c r="AA6" s="14">
        <v>5.0421109801285446E-2</v>
      </c>
      <c r="AB6" s="14">
        <v>5.1350802013856223E-2</v>
      </c>
      <c r="AC6" s="14">
        <v>3.1587097357943961E-2</v>
      </c>
      <c r="AD6" s="14">
        <v>3.7530712819546341E-2</v>
      </c>
      <c r="AE6" s="14">
        <v>3.7952746109301216E-2</v>
      </c>
      <c r="AF6">
        <v>5.9805483646139468E-2</v>
      </c>
      <c r="AG6">
        <v>3.8061928131946754E-2</v>
      </c>
      <c r="AH6">
        <v>4.8015096487598941E-2</v>
      </c>
      <c r="AI6">
        <v>4.5499465832514296E-2</v>
      </c>
      <c r="AJ6">
        <v>4.0423835199834057E-2</v>
      </c>
      <c r="AK6">
        <v>4.4536231146269145E-2</v>
      </c>
      <c r="AL6">
        <v>4.3967204522343817E-2</v>
      </c>
      <c r="AM6">
        <v>6.4092189442117364E-2</v>
      </c>
      <c r="AN6">
        <v>6.2561559670302191E-2</v>
      </c>
      <c r="AO6">
        <v>3.0318763900521906E-2</v>
      </c>
      <c r="AP6">
        <v>4.7357789936748551E-2</v>
      </c>
    </row>
    <row r="7" spans="1:42" x14ac:dyDescent="0.2">
      <c r="A7">
        <v>-0.58075699999999997</v>
      </c>
      <c r="B7">
        <v>2.4403491479979E-2</v>
      </c>
      <c r="C7" s="14">
        <v>0.16664116741119783</v>
      </c>
      <c r="D7" s="14">
        <v>0.18742279419885111</v>
      </c>
      <c r="E7" s="14">
        <v>0.1775792817124231</v>
      </c>
      <c r="F7" s="14">
        <v>0.13212322915520813</v>
      </c>
      <c r="G7" s="14">
        <v>0.11877927248755427</v>
      </c>
      <c r="H7" s="14">
        <v>0.12221407082363722</v>
      </c>
      <c r="I7" s="14">
        <v>9.1085714937178874E-2</v>
      </c>
      <c r="J7" s="14">
        <v>9.3567570009305268E-2</v>
      </c>
      <c r="K7" s="14">
        <v>8.9762296098959471E-2</v>
      </c>
      <c r="L7" s="14">
        <v>6.8402363688536472E-2</v>
      </c>
      <c r="M7" s="14">
        <v>5.1743814308980007E-2</v>
      </c>
      <c r="N7" s="14">
        <v>7.0446922343724738E-2</v>
      </c>
      <c r="O7" s="14">
        <v>3.5818772704358182E-2</v>
      </c>
      <c r="P7" s="14">
        <v>2.8034869077778635E-2</v>
      </c>
      <c r="Q7" s="14">
        <v>3.189964468400408E-2</v>
      </c>
      <c r="R7" s="14">
        <v>4.1087212545024676E-2</v>
      </c>
      <c r="S7" s="14">
        <v>3.468254219878264E-2</v>
      </c>
      <c r="T7" s="14">
        <v>3.2015139101242651E-2</v>
      </c>
      <c r="U7" s="14">
        <v>3.605129000891838E-2</v>
      </c>
      <c r="V7" s="14">
        <v>3.5326580985126088E-2</v>
      </c>
      <c r="W7" s="14">
        <v>2.8148958982859851E-2</v>
      </c>
      <c r="X7" s="14">
        <v>4.1717521117241363E-2</v>
      </c>
      <c r="Y7" s="14">
        <v>3.5123618316381444E-2</v>
      </c>
      <c r="Z7" s="14">
        <v>3.2160701273632242E-2</v>
      </c>
      <c r="AA7" s="14">
        <v>2.3514996070523542E-2</v>
      </c>
      <c r="AB7" s="14">
        <v>3.1262406041569379E-2</v>
      </c>
      <c r="AC7" s="14">
        <v>2.6161292073832554E-2</v>
      </c>
      <c r="AD7" s="14">
        <v>2.5842424172925926E-2</v>
      </c>
      <c r="AE7" s="14">
        <v>2.9858238327904241E-2</v>
      </c>
      <c r="AF7">
        <v>5.1316050938420288E-2</v>
      </c>
      <c r="AG7">
        <v>2.7851784395842127E-2</v>
      </c>
      <c r="AH7">
        <v>3.6127956129464955E-2</v>
      </c>
      <c r="AI7">
        <v>3.3831064164210334E-2</v>
      </c>
      <c r="AJ7">
        <v>2.6072305599503132E-2</v>
      </c>
      <c r="AK7">
        <v>3.4209493438808414E-2</v>
      </c>
      <c r="AL7">
        <v>3.9737280233699712E-2</v>
      </c>
      <c r="AM7">
        <v>3.944556832635282E-2</v>
      </c>
      <c r="AN7">
        <v>3.8351012344242097E-2</v>
      </c>
      <c r="AO7">
        <v>2.3055091701566499E-2</v>
      </c>
      <c r="AP7">
        <v>3.7659036476913599E-2</v>
      </c>
    </row>
    <row r="8" spans="1:42" x14ac:dyDescent="0.2">
      <c r="A8">
        <v>-0.57592100000000002</v>
      </c>
      <c r="B8">
        <v>1.8345794234305379E-2</v>
      </c>
      <c r="C8" s="14">
        <v>0.20330703258879956</v>
      </c>
      <c r="D8" s="14">
        <v>0.2157750058011465</v>
      </c>
      <c r="E8" s="14">
        <v>0.16786951828757402</v>
      </c>
      <c r="F8" s="14">
        <v>0.13101204357206142</v>
      </c>
      <c r="G8" s="14">
        <v>0.13433327296698749</v>
      </c>
      <c r="H8" s="14">
        <v>0.11771032917635949</v>
      </c>
      <c r="I8" s="14">
        <v>7.9013085062818789E-2</v>
      </c>
      <c r="J8" s="14">
        <v>0.10199332999069188</v>
      </c>
      <c r="K8" s="14">
        <v>8.0949003901037653E-2</v>
      </c>
      <c r="L8" s="14">
        <v>5.2523436311461502E-2</v>
      </c>
      <c r="M8" s="14">
        <v>3.9518085691018001E-2</v>
      </c>
      <c r="N8" s="14">
        <v>6.1939977656273237E-2</v>
      </c>
      <c r="O8" s="14">
        <v>3.0242977295640849E-2</v>
      </c>
      <c r="P8" s="14">
        <v>3.7589464255552985E-2</v>
      </c>
      <c r="Q8" s="14">
        <v>2.8475688649327924E-2</v>
      </c>
      <c r="R8" s="14">
        <v>3.3287120788307534E-2</v>
      </c>
      <c r="S8" s="14">
        <v>2.5400124467882756E-2</v>
      </c>
      <c r="T8" s="14">
        <v>2.5111003755899142E-2</v>
      </c>
      <c r="U8" s="14">
        <v>1.8745834991080512E-2</v>
      </c>
      <c r="V8" s="14">
        <v>3.0297752348206197E-2</v>
      </c>
      <c r="W8" s="14">
        <v>2.9928416017139248E-2</v>
      </c>
      <c r="X8" s="14">
        <v>2.3532050311329322E-2</v>
      </c>
      <c r="Y8" s="14">
        <v>2.3375524540760306E-2</v>
      </c>
      <c r="Z8" s="14">
        <v>2.0192632059699789E-2</v>
      </c>
      <c r="AA8" s="14">
        <v>2.1111003929475958E-2</v>
      </c>
      <c r="AB8" s="14">
        <v>1.2926093958429807E-2</v>
      </c>
      <c r="AC8" s="14">
        <v>2.2488707926166862E-2</v>
      </c>
      <c r="AD8" s="14">
        <v>1.5907147255644349E-2</v>
      </c>
      <c r="AE8" s="14">
        <v>1.6516761672095259E-2</v>
      </c>
      <c r="AF8">
        <v>2.5333549061578253E-2</v>
      </c>
      <c r="AG8">
        <v>1.7648215604156192E-2</v>
      </c>
      <c r="AH8">
        <v>2.0747043870533055E-2</v>
      </c>
      <c r="AI8">
        <v>2.2168935835788606E-2</v>
      </c>
      <c r="AJ8">
        <v>1.8727494400495814E-2</v>
      </c>
      <c r="AK8">
        <v>2.3890306561190622E-2</v>
      </c>
      <c r="AL8">
        <v>2.8512719766298655E-2</v>
      </c>
      <c r="AM8">
        <v>2.5304431673646155E-2</v>
      </c>
      <c r="AN8">
        <v>3.5148487655756178E-2</v>
      </c>
      <c r="AO8">
        <v>1.579570829843302E-2</v>
      </c>
      <c r="AP8">
        <v>1.7465963523084715E-2</v>
      </c>
    </row>
    <row r="9" spans="1:42" x14ac:dyDescent="0.2">
      <c r="A9">
        <v>-0.57108599999999998</v>
      </c>
      <c r="B9">
        <v>8.7818361733398298E-3</v>
      </c>
      <c r="C9" s="14">
        <v>0.22596821086293239</v>
      </c>
      <c r="D9" s="14">
        <v>0.20912480193371463</v>
      </c>
      <c r="E9" s="14">
        <v>0.1791559727625236</v>
      </c>
      <c r="F9" s="14">
        <v>0.12989746906947386</v>
      </c>
      <c r="G9" s="14">
        <v>0.16038333341323718</v>
      </c>
      <c r="H9" s="14">
        <v>0.12720317639211887</v>
      </c>
      <c r="I9" s="14">
        <v>7.0437161687605387E-2</v>
      </c>
      <c r="J9" s="14">
        <v>0.10691417666356329</v>
      </c>
      <c r="K9" s="14">
        <v>7.2133467967011589E-2</v>
      </c>
      <c r="L9" s="14">
        <v>5.7641278770486748E-2</v>
      </c>
      <c r="M9" s="14">
        <v>5.3539095230338951E-2</v>
      </c>
      <c r="N9" s="14">
        <v>4.9929725885423881E-2</v>
      </c>
      <c r="O9" s="14">
        <v>3.5163992431880176E-2</v>
      </c>
      <c r="P9" s="14">
        <v>4.1890636233332113E-2</v>
      </c>
      <c r="Q9" s="14">
        <v>3.3796822142368232E-2</v>
      </c>
      <c r="R9" s="14">
        <v>3.2484299522028248E-2</v>
      </c>
      <c r="S9" s="14">
        <v>3.5364560007812518E-2</v>
      </c>
      <c r="T9" s="14">
        <v>2.5203953632918608E-2</v>
      </c>
      <c r="U9" s="14">
        <v>1.5436444997026566E-2</v>
      </c>
      <c r="V9" s="14">
        <v>2.8765621153105547E-2</v>
      </c>
      <c r="W9" s="14">
        <v>3.3454972005712902E-2</v>
      </c>
      <c r="X9" s="14">
        <v>1.5843826294252517E-2</v>
      </c>
      <c r="Y9" s="14">
        <v>1.1624793894538965E-2</v>
      </c>
      <c r="Z9" s="14">
        <v>1.5222247723603255E-2</v>
      </c>
      <c r="AA9" s="14">
        <v>9.953890198714288E-3</v>
      </c>
      <c r="AB9" s="14">
        <v>2.0836697986143182E-2</v>
      </c>
      <c r="AC9" s="14">
        <v>1.18129026420557E-2</v>
      </c>
      <c r="AD9" s="14">
        <v>1.471885860902411E-2</v>
      </c>
      <c r="AE9" s="14">
        <v>1.1922253890698564E-2</v>
      </c>
      <c r="AF9">
        <v>1.6844116353859517E-2</v>
      </c>
      <c r="AG9">
        <v>1.0938071868051846E-2</v>
      </c>
      <c r="AH9">
        <v>2.2859903512399748E-2</v>
      </c>
      <c r="AI9">
        <v>2.1000534167485041E-2</v>
      </c>
      <c r="AJ9">
        <v>9.6259648001650877E-3</v>
      </c>
      <c r="AK9">
        <v>1.7063568853730393E-2</v>
      </c>
      <c r="AL9">
        <v>1.3781795477655123E-2</v>
      </c>
      <c r="AM9">
        <v>1.8156810557882208E-2</v>
      </c>
      <c r="AN9">
        <v>1.793894032969634E-2</v>
      </c>
      <c r="AO9">
        <v>1.5532036099477842E-2</v>
      </c>
      <c r="AP9">
        <v>7.7662100632502895E-3</v>
      </c>
    </row>
    <row r="10" spans="1:42" x14ac:dyDescent="0.2">
      <c r="A10">
        <v>-0.56625099999999995</v>
      </c>
      <c r="B10">
        <v>6.2185357142855446E-3</v>
      </c>
      <c r="C10" s="14">
        <v>0.22762997499999904</v>
      </c>
      <c r="D10" s="14">
        <v>0.20947414999999903</v>
      </c>
      <c r="E10" s="14">
        <v>0.19744289999999842</v>
      </c>
      <c r="F10" s="14">
        <v>0.13578331818181644</v>
      </c>
      <c r="G10" s="14">
        <v>0.15843388636363431</v>
      </c>
      <c r="H10" s="14">
        <v>0.15069644999999854</v>
      </c>
      <c r="I10" s="14">
        <v>7.9361649999998951E-2</v>
      </c>
      <c r="J10" s="14">
        <v>9.7835512499999E-2</v>
      </c>
      <c r="K10" s="14">
        <v>7.3817337499998636E-2</v>
      </c>
      <c r="L10" s="14">
        <v>5.5759524999999144E-2</v>
      </c>
      <c r="M10" s="14">
        <v>4.3060512499999315E-2</v>
      </c>
      <c r="N10" s="14">
        <v>5.5419887499999376E-2</v>
      </c>
      <c r="O10" s="14">
        <v>2.9585406249999724E-2</v>
      </c>
      <c r="P10" s="14">
        <v>2.8692236111110603E-2</v>
      </c>
      <c r="Q10" s="14">
        <v>3.5620319444443993E-2</v>
      </c>
      <c r="R10" s="14">
        <v>2.4681819444444142E-2</v>
      </c>
      <c r="S10" s="14">
        <v>2.6079388888888499E-2</v>
      </c>
      <c r="T10" s="14">
        <v>1.129726785714269E-2</v>
      </c>
      <c r="U10" s="14">
        <v>5.1274218749997047E-3</v>
      </c>
      <c r="V10" s="14">
        <v>2.5483902777777456E-2</v>
      </c>
      <c r="W10" s="14">
        <v>1.4231890624999743E-2</v>
      </c>
      <c r="X10" s="14">
        <v>9.9059464285712329E-3</v>
      </c>
      <c r="Y10" s="14">
        <v>1.9124392857142625E-2</v>
      </c>
      <c r="Z10" s="14">
        <v>1.5501277777777434E-2</v>
      </c>
      <c r="AA10" s="14">
        <v>9.2971666666666897E-3</v>
      </c>
      <c r="AB10" s="14">
        <v>1.9997687499999972E-2</v>
      </c>
      <c r="AC10" s="14">
        <v>2.6250000000016538E-4</v>
      </c>
      <c r="AD10" s="14">
        <v>1.3530946428571222E-2</v>
      </c>
      <c r="AE10" s="14">
        <v>1.2578125000000218E-2</v>
      </c>
      <c r="AF10">
        <v>1.8856550000000194E-2</v>
      </c>
      <c r="AG10">
        <v>1.1228749999999899E-2</v>
      </c>
      <c r="AH10">
        <v>1.4473541666666589E-2</v>
      </c>
      <c r="AI10">
        <v>4.0829166666667138E-3</v>
      </c>
      <c r="AJ10">
        <v>9.2751499999998988E-3</v>
      </c>
      <c r="AK10">
        <v>1.023765000000032E-2</v>
      </c>
      <c r="AL10">
        <v>0</v>
      </c>
      <c r="AM10">
        <v>1.1010000000000186E-2</v>
      </c>
      <c r="AN10">
        <v>7.729395833333319E-3</v>
      </c>
      <c r="AO10">
        <v>4.7689000000001869E-3</v>
      </c>
      <c r="AP10">
        <v>8.5672916666665877E-3</v>
      </c>
    </row>
    <row r="11" spans="1:42" x14ac:dyDescent="0.2">
      <c r="A11">
        <v>-0.56141600000000003</v>
      </c>
      <c r="B11">
        <v>5.4058928571422138E-3</v>
      </c>
      <c r="C11" s="14">
        <v>0.21529332499999843</v>
      </c>
      <c r="D11" s="14">
        <v>0.22382404999999816</v>
      </c>
      <c r="E11" s="14">
        <v>0.20173029999999814</v>
      </c>
      <c r="F11" s="14">
        <v>0.14866959090908871</v>
      </c>
      <c r="G11" s="14">
        <v>0.17048493181817959</v>
      </c>
      <c r="H11" s="14">
        <v>0.15319014999999814</v>
      </c>
      <c r="I11" s="14">
        <v>9.5286549999998638E-2</v>
      </c>
      <c r="J11" s="14">
        <v>9.9257337499998322E-2</v>
      </c>
      <c r="K11" s="14">
        <v>6.5001612499998362E-2</v>
      </c>
      <c r="L11" s="14">
        <v>6.9628174999998849E-2</v>
      </c>
      <c r="M11" s="14">
        <v>4.1332337499999094E-2</v>
      </c>
      <c r="N11" s="14">
        <v>6.6160462499998962E-2</v>
      </c>
      <c r="O11" s="14">
        <v>3.2757218749999484E-2</v>
      </c>
      <c r="P11" s="14">
        <v>2.9494263888888095E-2</v>
      </c>
      <c r="Q11" s="14">
        <v>3.2193180555554757E-2</v>
      </c>
      <c r="R11" s="14">
        <v>2.5629680555554923E-2</v>
      </c>
      <c r="S11" s="14">
        <v>1.8545611111110416E-2</v>
      </c>
      <c r="T11" s="14">
        <v>1.1390946428570969E-2</v>
      </c>
      <c r="U11" s="14">
        <v>8.8187656249993918E-3</v>
      </c>
      <c r="V11" s="14">
        <v>1.5202597222221503E-2</v>
      </c>
      <c r="W11" s="14">
        <v>7.2591718749993595E-3</v>
      </c>
      <c r="X11" s="14">
        <v>1.4468410714285285E-2</v>
      </c>
      <c r="Y11" s="14">
        <v>1.6124321428570787E-2</v>
      </c>
      <c r="Z11" s="14">
        <v>1.7530722222221407E-2</v>
      </c>
      <c r="AA11" s="14">
        <v>1.7390833333333022E-2</v>
      </c>
      <c r="AB11" s="14">
        <v>1.5659062499999599E-2</v>
      </c>
      <c r="AC11" s="14">
        <v>5.337499999999884E-3</v>
      </c>
      <c r="AD11" s="14">
        <v>1.0593410714285101E-2</v>
      </c>
      <c r="AE11" s="14">
        <v>1.7609374999999816E-2</v>
      </c>
      <c r="AF11">
        <v>1.0368849999999652E-2</v>
      </c>
      <c r="AG11">
        <v>0</v>
      </c>
      <c r="AH11">
        <v>2.5889583333325028E-3</v>
      </c>
      <c r="AI11">
        <v>6.4160833333328782E-3</v>
      </c>
      <c r="AJ11">
        <v>1.7504999999951032E-4</v>
      </c>
      <c r="AK11">
        <v>0</v>
      </c>
      <c r="AL11">
        <v>1.822333333332482E-3</v>
      </c>
      <c r="AM11">
        <v>1.2614999999999599E-2</v>
      </c>
      <c r="AN11">
        <v>2.2020854166665993E-2</v>
      </c>
      <c r="AO11">
        <v>0</v>
      </c>
      <c r="AP11">
        <v>1.4619208333332745E-2</v>
      </c>
    </row>
    <row r="12" spans="1:42" x14ac:dyDescent="0.2">
      <c r="A12">
        <v>-0.55658099999999999</v>
      </c>
      <c r="B12">
        <v>1.0925923980880103E-3</v>
      </c>
      <c r="C12" s="14">
        <v>0.23095508913706486</v>
      </c>
      <c r="D12" s="14">
        <v>0.23117339806628245</v>
      </c>
      <c r="E12" s="14">
        <v>0.21301722723747307</v>
      </c>
      <c r="F12" s="14">
        <v>0.15805544002143157</v>
      </c>
      <c r="G12" s="14">
        <v>0.16153548476857704</v>
      </c>
      <c r="H12" s="14">
        <v>0.14518342360787795</v>
      </c>
      <c r="I12" s="14">
        <v>9.7211038312392084E-2</v>
      </c>
      <c r="J12" s="14">
        <v>9.3678673336434093E-2</v>
      </c>
      <c r="K12" s="14">
        <v>9.1185482032985377E-2</v>
      </c>
      <c r="L12" s="14">
        <v>6.2496421229511379E-2</v>
      </c>
      <c r="M12" s="14">
        <v>5.1853754769659366E-2</v>
      </c>
      <c r="N12" s="14">
        <v>5.9400624114574363E-2</v>
      </c>
      <c r="O12" s="14">
        <v>1.4929632568119189E-2</v>
      </c>
      <c r="P12" s="14">
        <v>3.2045863766666627E-2</v>
      </c>
      <c r="Q12" s="14">
        <v>2.7015677857630482E-2</v>
      </c>
      <c r="R12" s="14">
        <v>3.00772004779708E-2</v>
      </c>
      <c r="S12" s="14">
        <v>1.6260439992186404E-2</v>
      </c>
      <c r="T12" s="14">
        <v>1.4984260652795012E-2</v>
      </c>
      <c r="U12" s="14">
        <v>7.259742502972566E-3</v>
      </c>
      <c r="V12" s="14">
        <v>2.2420878846893366E-2</v>
      </c>
      <c r="W12" s="14">
        <v>1.5161090494286378E-2</v>
      </c>
      <c r="X12" s="14">
        <v>1.4655530848604159E-2</v>
      </c>
      <c r="Y12" s="14">
        <v>9.6239203911745452E-3</v>
      </c>
      <c r="Z12" s="14">
        <v>1.4309752276395526E-2</v>
      </c>
      <c r="AA12" s="14">
        <v>5.359109801285622E-3</v>
      </c>
      <c r="AB12" s="14">
        <v>2.0945052013856436E-2</v>
      </c>
      <c r="AC12" s="14">
        <v>0</v>
      </c>
      <c r="AD12" s="14">
        <v>1.640549853383233E-2</v>
      </c>
      <c r="AE12" s="14">
        <v>2.5152461093014278E-3</v>
      </c>
      <c r="AF12">
        <v>0</v>
      </c>
      <c r="AG12">
        <v>1.3119281319473597E-3</v>
      </c>
      <c r="AH12">
        <v>6.4525964875994379E-3</v>
      </c>
      <c r="AI12">
        <v>5.2494658325143995E-3</v>
      </c>
      <c r="AJ12">
        <v>0</v>
      </c>
      <c r="AK12">
        <v>2.8428446047255029E-3</v>
      </c>
      <c r="AL12">
        <v>8.0922045223441597E-3</v>
      </c>
      <c r="AM12">
        <v>8.9681894421176356E-3</v>
      </c>
      <c r="AN12">
        <v>1.311309670302796E-3</v>
      </c>
      <c r="AO12">
        <v>3.2748539372307039E-4</v>
      </c>
      <c r="AP12">
        <v>4.9202899367488673E-3</v>
      </c>
    </row>
    <row r="13" spans="1:42" x14ac:dyDescent="0.2">
      <c r="A13">
        <v>-0.55174599999999996</v>
      </c>
      <c r="B13">
        <v>2.0286343371225257E-3</v>
      </c>
      <c r="C13" s="14">
        <v>0.2396162674111979</v>
      </c>
      <c r="D13" s="14">
        <v>0.2385221941988509</v>
      </c>
      <c r="E13" s="14">
        <v>0.18930368171242296</v>
      </c>
      <c r="F13" s="14">
        <v>0.15694186551884393</v>
      </c>
      <c r="G13" s="14">
        <v>0.15608554521482665</v>
      </c>
      <c r="H13" s="14">
        <v>0.14417627082363738</v>
      </c>
      <c r="I13" s="14">
        <v>8.8636114937179045E-2</v>
      </c>
      <c r="J13" s="14">
        <v>0.11434952000930543</v>
      </c>
      <c r="K13" s="14">
        <v>8.4118946098959757E-2</v>
      </c>
      <c r="L13" s="14">
        <v>6.4114263688536455E-2</v>
      </c>
      <c r="M13" s="14">
        <v>4.8374764308980356E-2</v>
      </c>
      <c r="N13" s="14">
        <v>6.3140372343725271E-2</v>
      </c>
      <c r="O13" s="14">
        <v>2.1600647704358433E-2</v>
      </c>
      <c r="P13" s="14">
        <v>2.5847035744445801E-2</v>
      </c>
      <c r="Q13" s="14">
        <v>2.3587811350670895E-2</v>
      </c>
      <c r="R13" s="14">
        <v>1.2649379211691625E-2</v>
      </c>
      <c r="S13" s="14">
        <v>1.2224875532116264E-2</v>
      </c>
      <c r="T13" s="14">
        <v>1.6827210529814507E-2</v>
      </c>
      <c r="U13" s="14">
        <v>1.5325352508918644E-2</v>
      </c>
      <c r="V13" s="14">
        <v>1.2139747651792931E-2</v>
      </c>
      <c r="W13" s="14">
        <v>1.2562646482860096E-2</v>
      </c>
      <c r="X13" s="14">
        <v>7.8423068315274236E-3</v>
      </c>
      <c r="Y13" s="14">
        <v>7.4991897449532274E-3</v>
      </c>
      <c r="Z13" s="14">
        <v>8.4633679402992268E-3</v>
      </c>
      <c r="AA13" s="14">
        <v>4.7019960705239061E-3</v>
      </c>
      <c r="AB13" s="14">
        <v>1.048065604156978E-2</v>
      </c>
      <c r="AC13" s="14">
        <v>6.3423749418336506E-3</v>
      </c>
      <c r="AD13" s="14">
        <v>4.7172098872121371E-3</v>
      </c>
      <c r="AE13" s="14">
        <v>1.4207383279046804E-3</v>
      </c>
      <c r="AF13">
        <v>6.3410177214211494E-3</v>
      </c>
      <c r="AG13">
        <v>0</v>
      </c>
      <c r="AH13">
        <v>0</v>
      </c>
      <c r="AI13">
        <v>0</v>
      </c>
      <c r="AJ13">
        <v>6.7788052582600233E-3</v>
      </c>
      <c r="AK13">
        <v>3.2785338141774201E-3</v>
      </c>
      <c r="AL13">
        <v>0</v>
      </c>
      <c r="AM13">
        <v>7.0705683263536656E-3</v>
      </c>
      <c r="AN13">
        <v>0</v>
      </c>
      <c r="AO13">
        <v>7.9824561811697725E-3</v>
      </c>
      <c r="AP13">
        <v>4.7153647691478007E-4</v>
      </c>
    </row>
    <row r="14" spans="1:42" x14ac:dyDescent="0.2">
      <c r="A14">
        <v>-0.54691000000000001</v>
      </c>
      <c r="B14">
        <v>3.449370914487826E-4</v>
      </c>
      <c r="C14" s="14">
        <v>0.2272821325887997</v>
      </c>
      <c r="D14" s="14">
        <v>0.2178754058011465</v>
      </c>
      <c r="E14" s="14">
        <v>0.17259491828757412</v>
      </c>
      <c r="F14" s="14">
        <v>0.13833067993569736</v>
      </c>
      <c r="G14" s="14">
        <v>0.1646395456942602</v>
      </c>
      <c r="H14" s="14">
        <v>0.12917252917635969</v>
      </c>
      <c r="I14" s="14">
        <v>8.1813485062818714E-2</v>
      </c>
      <c r="J14" s="14">
        <v>0.10877427999069211</v>
      </c>
      <c r="K14" s="14">
        <v>8.2305653901038056E-2</v>
      </c>
      <c r="L14" s="14">
        <v>3.2485336311461666E-2</v>
      </c>
      <c r="M14" s="14">
        <v>4.4899035691018274E-2</v>
      </c>
      <c r="N14" s="14">
        <v>4.938342765627346E-2</v>
      </c>
      <c r="O14" s="14">
        <v>2.8274852295641084E-2</v>
      </c>
      <c r="P14" s="14">
        <v>2.4902630922220004E-2</v>
      </c>
      <c r="Q14" s="14">
        <v>2.016285531599471E-2</v>
      </c>
      <c r="R14" s="14">
        <v>9.2242874549742782E-3</v>
      </c>
      <c r="S14" s="14">
        <v>6.4424578012163281E-3</v>
      </c>
      <c r="T14" s="14">
        <v>1.4298075184471015E-2</v>
      </c>
      <c r="U14" s="14">
        <v>7.6438974910808533E-3</v>
      </c>
      <c r="V14" s="14">
        <v>1.2360919014872906E-2</v>
      </c>
      <c r="W14" s="14">
        <v>1.5217103517139452E-2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4.1571250581665664E-3</v>
      </c>
      <c r="AD14" s="14">
        <v>1.7819329699304554E-3</v>
      </c>
      <c r="AE14" s="14">
        <v>0</v>
      </c>
      <c r="AF14">
        <v>4.1584822785791786E-3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4.1585233441912006E-3</v>
      </c>
      <c r="AM14">
        <v>0</v>
      </c>
      <c r="AN14">
        <v>0</v>
      </c>
      <c r="AO14">
        <v>1.6415438188304154E-3</v>
      </c>
      <c r="AP14">
        <v>0</v>
      </c>
    </row>
    <row r="15" spans="1:42" x14ac:dyDescent="0.2">
      <c r="A15">
        <v>-0.54207499999999997</v>
      </c>
      <c r="B15">
        <v>0</v>
      </c>
      <c r="C15" s="14">
        <v>0.20794331086293227</v>
      </c>
      <c r="D15" s="14">
        <v>0.17622420193371435</v>
      </c>
      <c r="E15" s="14">
        <v>0.14188137276252366</v>
      </c>
      <c r="F15" s="14">
        <v>0.12671610543310963</v>
      </c>
      <c r="G15" s="14">
        <v>0.15568960614050953</v>
      </c>
      <c r="H15" s="14">
        <v>0.11766537639211894</v>
      </c>
      <c r="I15" s="14">
        <v>7.1487561687605616E-2</v>
      </c>
      <c r="J15" s="14">
        <v>9.6195126663563224E-2</v>
      </c>
      <c r="K15" s="14">
        <v>6.4739117967011817E-2</v>
      </c>
      <c r="L15" s="14">
        <v>3.7603178770486578E-2</v>
      </c>
      <c r="M15" s="14">
        <v>3.4420045230338925E-2</v>
      </c>
      <c r="N15" s="14">
        <v>3.2123175885423905E-2</v>
      </c>
      <c r="O15" s="14">
        <v>2.9695867431880019E-2</v>
      </c>
      <c r="P15" s="14">
        <v>2.5703802899998851E-2</v>
      </c>
      <c r="Q15" s="14">
        <v>2.3734988809034796E-2</v>
      </c>
      <c r="R15" s="14">
        <v>1.4546466188694818E-2</v>
      </c>
      <c r="S15" s="14">
        <v>1.9906893341145815E-2</v>
      </c>
      <c r="T15" s="14">
        <v>3.8910250614901942E-3</v>
      </c>
      <c r="U15" s="14">
        <v>9.584507497026773E-3</v>
      </c>
      <c r="V15" s="14">
        <v>1.7828787819772041E-2</v>
      </c>
      <c r="W15" s="14">
        <v>1.5243659505712936E-2</v>
      </c>
      <c r="X15" s="14">
        <v>4.7186120085384031E-3</v>
      </c>
      <c r="Y15" s="14">
        <v>0</v>
      </c>
      <c r="Z15" s="14">
        <v>0</v>
      </c>
      <c r="AA15" s="14">
        <v>2.7892548299810471E-3</v>
      </c>
      <c r="AB15" s="14">
        <v>0</v>
      </c>
      <c r="AC15" s="14">
        <v>8.093708352722051E-3</v>
      </c>
      <c r="AD15" s="14">
        <v>0</v>
      </c>
      <c r="AE15" s="14">
        <v>0</v>
      </c>
      <c r="AF15">
        <v>0</v>
      </c>
      <c r="AG15">
        <v>0</v>
      </c>
      <c r="AH15">
        <v>3.9381559898659102E-3</v>
      </c>
      <c r="AI15">
        <v>0</v>
      </c>
      <c r="AJ15">
        <v>0</v>
      </c>
      <c r="AK15">
        <v>2.6258488444235173E-3</v>
      </c>
      <c r="AL15">
        <v>0</v>
      </c>
      <c r="AM15">
        <v>3.7194173000361097E-3</v>
      </c>
      <c r="AN15">
        <v>4.3760750478256671E-3</v>
      </c>
      <c r="AO15">
        <v>0</v>
      </c>
      <c r="AP15">
        <v>0</v>
      </c>
    </row>
    <row r="16" spans="1:42" x14ac:dyDescent="0.2">
      <c r="A16">
        <v>-0.53723999999999994</v>
      </c>
      <c r="B16">
        <v>1.0391250000000296E-3</v>
      </c>
      <c r="C16" s="14">
        <v>0.16760507499999888</v>
      </c>
      <c r="D16" s="14">
        <v>0.12757454999999873</v>
      </c>
      <c r="E16" s="14">
        <v>0.11116829999999855</v>
      </c>
      <c r="F16" s="14">
        <v>0.10810195454545268</v>
      </c>
      <c r="G16" s="14">
        <v>0.13974115909090723</v>
      </c>
      <c r="H16" s="14">
        <v>0.10615864999999891</v>
      </c>
      <c r="I16" s="14">
        <v>6.291204999999922E-2</v>
      </c>
      <c r="J16" s="14">
        <v>7.6616462499998983E-2</v>
      </c>
      <c r="K16" s="14">
        <v>5.2422987499998963E-2</v>
      </c>
      <c r="L16" s="14">
        <v>2.3471424999999213E-2</v>
      </c>
      <c r="M16" s="14">
        <v>2.5692462499999458E-2</v>
      </c>
      <c r="N16" s="14">
        <v>2.8863337499999364E-2</v>
      </c>
      <c r="O16" s="14">
        <v>3.5492281249999813E-2</v>
      </c>
      <c r="P16" s="14">
        <v>2.3005402777777406E-2</v>
      </c>
      <c r="Q16" s="14">
        <v>2.293248611111065E-2</v>
      </c>
      <c r="R16" s="14">
        <v>1.5493986111110858E-2</v>
      </c>
      <c r="S16" s="14">
        <v>1.2371722222221937E-2</v>
      </c>
      <c r="T16" s="14">
        <v>0</v>
      </c>
      <c r="U16" s="14">
        <v>0</v>
      </c>
      <c r="V16" s="14">
        <v>9.2970694444440838E-3</v>
      </c>
      <c r="W16" s="14">
        <v>3.0215781249999241E-3</v>
      </c>
      <c r="X16" s="14">
        <v>0</v>
      </c>
      <c r="Y16" s="14">
        <v>1.0937499999998934E-3</v>
      </c>
      <c r="Z16" s="14">
        <v>5.8029444444439582E-3</v>
      </c>
      <c r="AA16" s="14">
        <v>0</v>
      </c>
      <c r="AB16" s="14">
        <v>4.5935416666668116E-3</v>
      </c>
      <c r="AC16" s="14">
        <v>0</v>
      </c>
      <c r="AD16" s="14">
        <v>0</v>
      </c>
      <c r="AE16" s="14">
        <v>3.9564166666666845E-3</v>
      </c>
      <c r="AF16">
        <v>0</v>
      </c>
      <c r="AG16">
        <v>1.9687500000000746E-3</v>
      </c>
      <c r="AH16">
        <v>0</v>
      </c>
      <c r="AI16">
        <v>2.5703124999999494E-3</v>
      </c>
      <c r="AJ16">
        <v>3.2812499999990141E-4</v>
      </c>
      <c r="AK16">
        <v>0</v>
      </c>
      <c r="AL16">
        <v>1.4218749999999059E-3</v>
      </c>
      <c r="AM16">
        <v>0</v>
      </c>
      <c r="AN16">
        <v>0</v>
      </c>
      <c r="AO16">
        <v>3.9375000000000382E-3</v>
      </c>
      <c r="AP16">
        <v>1.028125000000002E-2</v>
      </c>
    </row>
    <row r="17" spans="1:42" x14ac:dyDescent="0.2">
      <c r="A17">
        <v>-0.53240500000000002</v>
      </c>
      <c r="B17">
        <v>0</v>
      </c>
      <c r="C17" s="14">
        <v>0.12376842499999907</v>
      </c>
      <c r="D17" s="14">
        <v>9.9924449999998943E-2</v>
      </c>
      <c r="E17" s="14">
        <v>9.7955699999998869E-2</v>
      </c>
      <c r="F17" s="14">
        <v>8.5988227272725481E-2</v>
      </c>
      <c r="G17" s="14">
        <v>9.9292204545452734E-2</v>
      </c>
      <c r="H17" s="14">
        <v>8.0653349999998847E-2</v>
      </c>
      <c r="I17" s="14">
        <v>5.0836949999999326E-2</v>
      </c>
      <c r="J17" s="14">
        <v>5.3539287499999144E-2</v>
      </c>
      <c r="K17" s="14">
        <v>4.7107262499999081E-2</v>
      </c>
      <c r="L17" s="14">
        <v>1.9840074999999291E-2</v>
      </c>
      <c r="M17" s="14">
        <v>2.3964287499999459E-2</v>
      </c>
      <c r="N17" s="14">
        <v>3.085391249999947E-2</v>
      </c>
      <c r="O17" s="14">
        <v>0</v>
      </c>
      <c r="P17" s="14">
        <v>8.0574305555554115E-3</v>
      </c>
      <c r="Q17" s="14">
        <v>2.6505347222221864E-2</v>
      </c>
      <c r="R17" s="14">
        <v>8.5668472222220071E-3</v>
      </c>
      <c r="S17" s="14">
        <v>4.6194444444425109E-4</v>
      </c>
      <c r="T17" s="14">
        <v>0</v>
      </c>
      <c r="U17" s="14">
        <v>1.2168281249999024E-3</v>
      </c>
      <c r="V17" s="14">
        <v>8.6407638888885696E-3</v>
      </c>
      <c r="W17" s="14">
        <v>0</v>
      </c>
      <c r="X17" s="14">
        <v>4.8392499999999616E-3</v>
      </c>
      <c r="Y17" s="14">
        <v>8.5312499999999902E-3</v>
      </c>
      <c r="Z17" s="14">
        <v>4.3323888888886497E-3</v>
      </c>
      <c r="AA17" s="14">
        <v>1.549041666666584E-3</v>
      </c>
      <c r="AB17" s="14">
        <v>2.4059583333333467E-3</v>
      </c>
      <c r="AC17" s="14">
        <v>0</v>
      </c>
      <c r="AD17" s="14">
        <v>7.6293124999999851E-3</v>
      </c>
      <c r="AE17" s="14">
        <v>7.200583333333288E-3</v>
      </c>
      <c r="AF17">
        <v>2.9534374999999891E-3</v>
      </c>
      <c r="AG17">
        <v>0</v>
      </c>
      <c r="AH17">
        <v>0</v>
      </c>
      <c r="AI17">
        <v>7.7109374999999591E-3</v>
      </c>
      <c r="AJ17">
        <v>1.0937500000007816E-4</v>
      </c>
      <c r="AK17">
        <v>0</v>
      </c>
      <c r="AL17">
        <v>4.2656249999999396E-3</v>
      </c>
      <c r="AM17">
        <v>0</v>
      </c>
      <c r="AN17">
        <v>0</v>
      </c>
      <c r="AO17">
        <v>0</v>
      </c>
      <c r="AP17">
        <v>0</v>
      </c>
    </row>
    <row r="18" spans="1:42" x14ac:dyDescent="0.2">
      <c r="A18">
        <v>-0.52756999999999998</v>
      </c>
      <c r="B18">
        <v>7.1014714854478189E-4</v>
      </c>
      <c r="C18" s="14">
        <v>9.0430189137065575E-2</v>
      </c>
      <c r="D18" s="14">
        <v>7.5773798066283371E-2</v>
      </c>
      <c r="E18" s="14">
        <v>6.0243627237474007E-2</v>
      </c>
      <c r="F18" s="14">
        <v>7.0874076385068374E-2</v>
      </c>
      <c r="G18" s="14">
        <v>7.4592757495850481E-2</v>
      </c>
      <c r="H18" s="14">
        <v>6.0396623607879008E-2</v>
      </c>
      <c r="I18" s="14">
        <v>4.1386438312392859E-2</v>
      </c>
      <c r="J18" s="14">
        <v>5.3210623336434892E-2</v>
      </c>
      <c r="K18" s="14">
        <v>3.129113203298628E-2</v>
      </c>
      <c r="L18" s="14">
        <v>1.4458321229511961E-2</v>
      </c>
      <c r="M18" s="14">
        <v>1.6985704769660104E-2</v>
      </c>
      <c r="N18" s="14">
        <v>3.0219074114574918E-2</v>
      </c>
      <c r="O18" s="14">
        <v>1.4214847991315116E-3</v>
      </c>
      <c r="P18" s="14">
        <v>2.7340304333338672E-3</v>
      </c>
      <c r="Q18" s="14">
        <v>5.5778445242977703E-3</v>
      </c>
      <c r="R18" s="14">
        <v>8.6403671446380059E-3</v>
      </c>
      <c r="S18" s="14">
        <v>6.0517733255204265E-3</v>
      </c>
      <c r="T18" s="14">
        <v>1.0386522155009237E-3</v>
      </c>
      <c r="U18" s="14">
        <v>0</v>
      </c>
      <c r="V18" s="14">
        <v>1.0904551356072378E-4</v>
      </c>
      <c r="W18" s="14">
        <v>9.8407528049226922E-4</v>
      </c>
      <c r="X18" s="14">
        <v>2.378440385709224E-3</v>
      </c>
      <c r="Y18" s="14">
        <v>3.2804220050670629E-3</v>
      </c>
      <c r="Z18" s="14">
        <v>9.8614189430628052E-3</v>
      </c>
      <c r="AA18" s="14">
        <v>7.929245170018806E-3</v>
      </c>
      <c r="AB18" s="14">
        <v>3.7180243868812912E-3</v>
      </c>
      <c r="AC18" s="14">
        <v>1.995840830360418E-3</v>
      </c>
      <c r="AD18" s="14">
        <v>0</v>
      </c>
      <c r="AE18" s="14">
        <v>0</v>
      </c>
      <c r="AF18">
        <v>0</v>
      </c>
      <c r="AG18">
        <v>2.4056731813248966E-3</v>
      </c>
      <c r="AH18">
        <v>3.6633861356705211E-3</v>
      </c>
      <c r="AI18">
        <v>0</v>
      </c>
      <c r="AJ18">
        <v>0</v>
      </c>
      <c r="AK18">
        <v>1.0931731813247358E-3</v>
      </c>
      <c r="AL18">
        <v>0</v>
      </c>
      <c r="AM18">
        <v>0</v>
      </c>
      <c r="AN18">
        <v>1.530492218603019E-3</v>
      </c>
      <c r="AO18">
        <v>0</v>
      </c>
      <c r="AP18">
        <v>0</v>
      </c>
    </row>
    <row r="19" spans="1:42" x14ac:dyDescent="0.2">
      <c r="A19">
        <v>-0.52273499999999995</v>
      </c>
      <c r="B19">
        <v>0</v>
      </c>
      <c r="C19" s="14">
        <v>6.0591367411198416E-2</v>
      </c>
      <c r="D19" s="14">
        <v>4.8122594198851454E-2</v>
      </c>
      <c r="E19" s="14">
        <v>3.3030081712423831E-2</v>
      </c>
      <c r="F19" s="14">
        <v>5.4009501882480881E-2</v>
      </c>
      <c r="G19" s="14">
        <v>4.4642817942100121E-2</v>
      </c>
      <c r="H19" s="14">
        <v>3.3139470823638328E-2</v>
      </c>
      <c r="I19" s="14">
        <v>1.9685514937179627E-2</v>
      </c>
      <c r="J19" s="14">
        <v>3.7131470009306167E-2</v>
      </c>
      <c r="K19" s="14">
        <v>1.9850596098960227E-2</v>
      </c>
      <c r="L19" s="14">
        <v>6.4511636885369317E-3</v>
      </c>
      <c r="M19" s="14">
        <v>1.7881714308980667E-2</v>
      </c>
      <c r="N19" s="14">
        <v>2.2584822343725386E-2</v>
      </c>
      <c r="O19" s="14">
        <v>4.2644543973940907E-3</v>
      </c>
      <c r="P19" s="14">
        <v>0</v>
      </c>
      <c r="Q19" s="14">
        <v>4.7749780173378387E-3</v>
      </c>
      <c r="R19" s="14">
        <v>3.4625458783585916E-3</v>
      </c>
      <c r="S19" s="14">
        <v>5.5162088654499009E-3</v>
      </c>
      <c r="T19" s="14">
        <v>0</v>
      </c>
      <c r="U19" s="14">
        <v>0</v>
      </c>
      <c r="V19" s="14">
        <v>0</v>
      </c>
      <c r="W19" s="14">
        <v>0</v>
      </c>
      <c r="X19" s="14">
        <v>1.6673211571274216E-3</v>
      </c>
      <c r="Y19" s="14">
        <v>0</v>
      </c>
      <c r="Z19" s="14">
        <v>0</v>
      </c>
      <c r="AA19" s="14">
        <v>0</v>
      </c>
      <c r="AB19" s="14">
        <v>2.1773982730988184E-4</v>
      </c>
      <c r="AC19" s="14">
        <v>2.4875224910811955E-3</v>
      </c>
      <c r="AD19" s="14">
        <v>1.6122608965409846E-3</v>
      </c>
      <c r="AE19" s="14">
        <v>0</v>
      </c>
      <c r="AF19">
        <v>0</v>
      </c>
      <c r="AG19">
        <v>0</v>
      </c>
      <c r="AH19">
        <v>5.7401584070110312E-3</v>
      </c>
      <c r="AI19">
        <v>0</v>
      </c>
      <c r="AJ19">
        <v>0</v>
      </c>
      <c r="AK19">
        <v>0</v>
      </c>
      <c r="AL19">
        <v>0</v>
      </c>
      <c r="AM19">
        <v>5.1386722506592264E-3</v>
      </c>
      <c r="AN19">
        <v>0</v>
      </c>
      <c r="AO19">
        <v>0</v>
      </c>
      <c r="AP19">
        <v>1.076954397394303E-4</v>
      </c>
    </row>
    <row r="20" spans="1:42" x14ac:dyDescent="0.2">
      <c r="A20">
        <v>-0.517899</v>
      </c>
      <c r="B20">
        <v>0</v>
      </c>
      <c r="C20" s="14">
        <v>3.775723258880026E-2</v>
      </c>
      <c r="D20" s="14">
        <v>1.6975805801147104E-2</v>
      </c>
      <c r="E20" s="14">
        <v>2.3203182875748407E-3</v>
      </c>
      <c r="F20" s="14">
        <v>2.6649316299334425E-2</v>
      </c>
      <c r="G20" s="14">
        <v>2.5196818421533873E-2</v>
      </c>
      <c r="H20" s="14">
        <v>9.3857291763604911E-3</v>
      </c>
      <c r="I20" s="14">
        <v>1.1112885062819489E-2</v>
      </c>
      <c r="J20" s="14">
        <v>2.1931229990692858E-2</v>
      </c>
      <c r="K20" s="14">
        <v>7.5373039010387943E-3</v>
      </c>
      <c r="L20" s="14">
        <v>0</v>
      </c>
      <c r="M20" s="14">
        <v>6.5309856910187314E-3</v>
      </c>
      <c r="N20" s="14">
        <v>0</v>
      </c>
      <c r="O20" s="14">
        <v>9.8554560260566415E-4</v>
      </c>
      <c r="P20" s="14">
        <v>0</v>
      </c>
      <c r="Q20" s="14">
        <v>0</v>
      </c>
      <c r="R20" s="14">
        <v>0</v>
      </c>
      <c r="S20" s="14">
        <v>0</v>
      </c>
      <c r="T20" s="14">
        <v>7.1208352722185175E-4</v>
      </c>
      <c r="U20" s="14">
        <v>4.2393940204744629E-3</v>
      </c>
      <c r="V20" s="14">
        <v>4.3838754459413209E-4</v>
      </c>
      <c r="W20" s="14">
        <v>4.9226384364819964E-3</v>
      </c>
      <c r="X20" s="14">
        <v>0</v>
      </c>
      <c r="Y20" s="14">
        <v>0</v>
      </c>
      <c r="Z20" s="14">
        <v>1.5594066490872693E-3</v>
      </c>
      <c r="AA20" s="14">
        <v>0</v>
      </c>
      <c r="AB20" s="14">
        <v>0</v>
      </c>
      <c r="AC20" s="14">
        <v>2.9814775089187506E-3</v>
      </c>
      <c r="AD20" s="14">
        <v>0</v>
      </c>
      <c r="AE20" s="14">
        <v>1.0971878393040146E-4</v>
      </c>
      <c r="AF20">
        <v>0</v>
      </c>
      <c r="AG20">
        <v>2.0795545214825628E-3</v>
      </c>
      <c r="AH20">
        <v>5.1973415929887912E-3</v>
      </c>
      <c r="AI20">
        <v>1.4231348689310863E-3</v>
      </c>
      <c r="AJ20">
        <v>0</v>
      </c>
      <c r="AK20">
        <v>0</v>
      </c>
      <c r="AL20">
        <v>3.446536218395968E-3</v>
      </c>
      <c r="AM20">
        <v>0</v>
      </c>
      <c r="AN20">
        <v>2.9548152629126356E-3</v>
      </c>
      <c r="AO20">
        <v>4.8135179153092622E-3</v>
      </c>
      <c r="AP20">
        <v>0</v>
      </c>
    </row>
    <row r="21" spans="1:42" x14ac:dyDescent="0.2">
      <c r="A21">
        <v>-0.51306399999999996</v>
      </c>
      <c r="B21">
        <v>1.20301520086874E-3</v>
      </c>
      <c r="C21" s="14">
        <v>4.4194108629336259E-3</v>
      </c>
      <c r="D21" s="14">
        <v>0</v>
      </c>
      <c r="E21" s="14">
        <v>0</v>
      </c>
      <c r="F21" s="14">
        <v>4.5347417967473991E-3</v>
      </c>
      <c r="G21" s="14">
        <v>1.2747878867783946E-2</v>
      </c>
      <c r="H21" s="14">
        <v>0</v>
      </c>
      <c r="I21" s="14">
        <v>0</v>
      </c>
      <c r="J21" s="14">
        <v>8.4770766635644534E-3</v>
      </c>
      <c r="K21" s="14">
        <v>1.3457679670129119E-3</v>
      </c>
      <c r="L21" s="14">
        <v>1.8160787704875059E-3</v>
      </c>
      <c r="M21" s="14">
        <v>3.0519952303397213E-3</v>
      </c>
      <c r="N21" s="14">
        <v>0</v>
      </c>
      <c r="O21" s="14">
        <v>8.2035152008687051E-3</v>
      </c>
      <c r="P21" s="14">
        <v>4.5391718887336507E-3</v>
      </c>
      <c r="Q21" s="14">
        <v>5.933633421229545E-3</v>
      </c>
      <c r="R21" s="14">
        <v>0</v>
      </c>
      <c r="S21" s="14">
        <v>3.5002714440826033E-3</v>
      </c>
      <c r="T21" s="14">
        <v>4.320694509074019E-3</v>
      </c>
      <c r="U21" s="14">
        <v>2.433798006824972E-3</v>
      </c>
      <c r="V21" s="14">
        <v>5.6876291815314284E-3</v>
      </c>
      <c r="W21" s="14">
        <v>5.1408794788273537E-3</v>
      </c>
      <c r="X21" s="14">
        <v>0</v>
      </c>
      <c r="Y21" s="14">
        <v>6.0119886941389922E-4</v>
      </c>
      <c r="Z21" s="14">
        <v>1.1755799941401968E-3</v>
      </c>
      <c r="AA21" s="14">
        <v>4.1015625613980422E-3</v>
      </c>
      <c r="AB21" s="14">
        <v>0</v>
      </c>
      <c r="AC21" s="14">
        <v>4.101591696396012E-4</v>
      </c>
      <c r="AD21" s="14">
        <v>1.2857445840441795E-3</v>
      </c>
      <c r="AE21" s="14">
        <v>9.078572927976758E-3</v>
      </c>
      <c r="AF21">
        <v>5.1683259914170332E-3</v>
      </c>
      <c r="AG21">
        <v>1.1018484049440946E-4</v>
      </c>
      <c r="AH21">
        <v>2.8991138643297276E-3</v>
      </c>
      <c r="AI21">
        <v>1.6413782896438356E-3</v>
      </c>
      <c r="AJ21">
        <v>3.0901500956518335E-3</v>
      </c>
      <c r="AK21">
        <v>1.6439809213597556E-4</v>
      </c>
      <c r="AL21">
        <v>2.4610120727988072E-3</v>
      </c>
      <c r="AM21">
        <v>0</v>
      </c>
      <c r="AN21">
        <v>0</v>
      </c>
      <c r="AO21">
        <v>4.3783930510321589E-4</v>
      </c>
      <c r="AP21">
        <v>0</v>
      </c>
    </row>
    <row r="22" spans="1:42" x14ac:dyDescent="0.2">
      <c r="A22">
        <v>-0.50822899999999993</v>
      </c>
      <c r="B22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4.7031250000001412E-3</v>
      </c>
      <c r="O22" s="14">
        <v>9.2968750000002043E-3</v>
      </c>
      <c r="P22" s="14">
        <v>1.0336125000000029E-2</v>
      </c>
      <c r="Q22" s="14">
        <v>9.1601875000001387E-3</v>
      </c>
      <c r="R22" s="14">
        <v>0</v>
      </c>
      <c r="S22" s="14">
        <v>6.1250000000001581E-3</v>
      </c>
      <c r="T22" s="14">
        <v>0</v>
      </c>
      <c r="U22" s="14">
        <v>0</v>
      </c>
      <c r="V22" s="14">
        <v>1.7062187500000214E-2</v>
      </c>
      <c r="W22" s="14">
        <v>0</v>
      </c>
      <c r="X22" s="14">
        <v>0</v>
      </c>
      <c r="Y22" s="14">
        <v>3.4816666666667162E-3</v>
      </c>
      <c r="Z22" s="14">
        <v>2.5429583333332895E-3</v>
      </c>
      <c r="AA22" s="14">
        <v>4.7946249999999413E-3</v>
      </c>
      <c r="AB22" s="14">
        <v>7.4834166666666313E-3</v>
      </c>
      <c r="AC22" s="14">
        <v>0</v>
      </c>
      <c r="AD22" s="14">
        <v>7.0275000000000754E-3</v>
      </c>
      <c r="AE22" s="14">
        <v>9.0786250000000068E-3</v>
      </c>
      <c r="AF22">
        <v>0</v>
      </c>
      <c r="AG22">
        <v>0</v>
      </c>
      <c r="AH22">
        <v>0</v>
      </c>
      <c r="AI22">
        <v>0</v>
      </c>
      <c r="AJ22">
        <v>4.566250000000216E-3</v>
      </c>
      <c r="AK22">
        <v>0</v>
      </c>
      <c r="AL22">
        <v>4.9759375000001382E-3</v>
      </c>
      <c r="AM22">
        <v>7.8751250000002049E-3</v>
      </c>
      <c r="AN22">
        <v>1.097500000002416E-4</v>
      </c>
      <c r="AO22">
        <v>0</v>
      </c>
      <c r="AP22">
        <v>0</v>
      </c>
    </row>
    <row r="23" spans="1:42" x14ac:dyDescent="0.2">
      <c r="A23">
        <v>-0.50339400000000001</v>
      </c>
      <c r="B23">
        <v>1.2033749999997845E-3</v>
      </c>
      <c r="C23" s="14">
        <v>0</v>
      </c>
      <c r="D23" s="14">
        <v>6.5709918043495019E-3</v>
      </c>
      <c r="E23" s="14">
        <v>3.2692811818223255E-2</v>
      </c>
      <c r="F23" s="14">
        <v>0</v>
      </c>
      <c r="G23" s="14">
        <v>0</v>
      </c>
      <c r="H23" s="14">
        <v>0</v>
      </c>
      <c r="I23" s="14">
        <v>4.1562499999998614E-3</v>
      </c>
      <c r="J23" s="14">
        <v>0</v>
      </c>
      <c r="K23" s="14">
        <v>4.3749999999986855E-4</v>
      </c>
      <c r="L23" s="14">
        <v>5.0312499999998206E-3</v>
      </c>
      <c r="M23" s="14">
        <v>0</v>
      </c>
      <c r="N23" s="14">
        <v>1.0937499999985612E-4</v>
      </c>
      <c r="O23" s="14">
        <v>3.3906249999998694E-3</v>
      </c>
      <c r="P23" s="14">
        <v>1.6953749999998324E-3</v>
      </c>
      <c r="Q23" s="14">
        <v>4.9490624999999344E-3</v>
      </c>
      <c r="R23" s="14">
        <v>4.921749999999836E-3</v>
      </c>
      <c r="S23" s="14">
        <v>8.7499999999995914E-4</v>
      </c>
      <c r="T23" s="14">
        <v>0</v>
      </c>
      <c r="U23" s="14">
        <v>0</v>
      </c>
      <c r="V23" s="14">
        <v>8.7506249999980135E-4</v>
      </c>
      <c r="W23" s="14">
        <v>0</v>
      </c>
      <c r="X23" s="14">
        <v>0</v>
      </c>
      <c r="Y23" s="14">
        <v>4.1743333333332799E-3</v>
      </c>
      <c r="Z23" s="14">
        <v>1.6378541666666524E-2</v>
      </c>
      <c r="AA23" s="14">
        <v>6.3618749999998503E-3</v>
      </c>
      <c r="AB23" s="14">
        <v>3.3445833333332065E-3</v>
      </c>
      <c r="AC23" s="14">
        <v>0</v>
      </c>
      <c r="AD23" s="14">
        <v>0</v>
      </c>
      <c r="AE23" s="14">
        <v>6.0158749999997818E-3</v>
      </c>
      <c r="AF23">
        <v>3.7463749999997464E-3</v>
      </c>
      <c r="AG23">
        <v>0</v>
      </c>
      <c r="AH23">
        <v>0</v>
      </c>
      <c r="AI23">
        <v>0</v>
      </c>
      <c r="AJ23">
        <v>3.8557499999998246E-3</v>
      </c>
      <c r="AK23">
        <v>1.0974999999979751E-4</v>
      </c>
      <c r="AL23">
        <v>4.8673124999998318E-3</v>
      </c>
      <c r="AM23">
        <v>0</v>
      </c>
      <c r="AN23">
        <v>0</v>
      </c>
      <c r="AO23">
        <v>3.3901249999997995E-3</v>
      </c>
      <c r="AP23">
        <v>0</v>
      </c>
    </row>
    <row r="24" spans="1:42" x14ac:dyDescent="0.2">
      <c r="A24">
        <v>-0.49855899999999997</v>
      </c>
      <c r="B24">
        <v>0</v>
      </c>
      <c r="C24" s="14">
        <v>1.3117922388506065E-2</v>
      </c>
      <c r="D24" s="14">
        <v>5.0618085784048361E-2</v>
      </c>
      <c r="E24" s="14">
        <v>7.6654454682961726E-2</v>
      </c>
      <c r="F24" s="14">
        <v>1.7078122798183104E-3</v>
      </c>
      <c r="G24" s="14">
        <v>0</v>
      </c>
      <c r="H24" s="14">
        <v>4.1998072396722819E-3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5.1132067628354427E-3</v>
      </c>
      <c r="V24" s="14">
        <v>0</v>
      </c>
      <c r="W24" s="14">
        <v>0</v>
      </c>
      <c r="X24" s="14">
        <v>3.8276883821932728E-3</v>
      </c>
      <c r="Y24" s="14">
        <v>2.0228011305861715E-3</v>
      </c>
      <c r="Z24" s="14">
        <v>1.5776920005859618E-2</v>
      </c>
      <c r="AA24" s="14">
        <v>7.0549374386018604E-3</v>
      </c>
      <c r="AB24" s="14">
        <v>0</v>
      </c>
      <c r="AC24" s="14">
        <v>3.8287305465067867E-4</v>
      </c>
      <c r="AD24" s="14">
        <v>0</v>
      </c>
      <c r="AE24" s="14">
        <v>7.6592707202305377E-4</v>
      </c>
      <c r="AF24">
        <v>0</v>
      </c>
      <c r="AG24">
        <v>4.100970658187264E-3</v>
      </c>
      <c r="AH24">
        <v>4.2104536993949893E-3</v>
      </c>
      <c r="AI24">
        <v>0</v>
      </c>
      <c r="AJ24">
        <v>0</v>
      </c>
      <c r="AK24">
        <v>0</v>
      </c>
      <c r="AL24">
        <v>0</v>
      </c>
      <c r="AM24">
        <v>2.1733661651412994E-3</v>
      </c>
      <c r="AN24">
        <v>2.6792983385899305E-3</v>
      </c>
      <c r="AO24">
        <v>0</v>
      </c>
      <c r="AP24">
        <v>3.1717913499818007E-3</v>
      </c>
    </row>
    <row r="25" spans="1:42" x14ac:dyDescent="0.2">
      <c r="A25">
        <v>-0.493724</v>
      </c>
      <c r="B25">
        <v>1.5986940437412445E-3</v>
      </c>
      <c r="C25" s="14">
        <v>6.0352767165518406E-2</v>
      </c>
      <c r="D25" s="14">
        <v>0.12616394587387902</v>
      </c>
      <c r="E25" s="14">
        <v>0.16611486586695556</v>
      </c>
      <c r="F25" s="14">
        <v>1.7373436839455136E-2</v>
      </c>
      <c r="G25" s="14">
        <v>1.4076769896998131E-2</v>
      </c>
      <c r="H25" s="14">
        <v>1.9599421719016963E-2</v>
      </c>
      <c r="I25" s="14">
        <v>0</v>
      </c>
      <c r="J25" s="14">
        <v>3.9746125771966678E-4</v>
      </c>
      <c r="K25" s="14">
        <v>0</v>
      </c>
      <c r="L25" s="14">
        <v>2.1320504110439176E-3</v>
      </c>
      <c r="M25" s="14">
        <v>6.2379545434858574E-3</v>
      </c>
      <c r="N25" s="14">
        <v>2.8432410423453458E-3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6.8135247789141706E-3</v>
      </c>
      <c r="U25" s="14">
        <v>1.9956202885063057E-3</v>
      </c>
      <c r="V25" s="14">
        <v>0</v>
      </c>
      <c r="W25" s="14">
        <v>1.7303454737385149E-3</v>
      </c>
      <c r="X25" s="14">
        <v>1.421065146579803E-3</v>
      </c>
      <c r="Y25" s="14">
        <v>0</v>
      </c>
      <c r="Z25" s="14">
        <v>0</v>
      </c>
      <c r="AA25" s="14">
        <v>9.6581231580572524E-4</v>
      </c>
      <c r="AB25" s="14">
        <v>0</v>
      </c>
      <c r="AC25" s="14">
        <v>3.335619163952197E-3</v>
      </c>
      <c r="AD25" s="14">
        <v>1.1751570497905428E-3</v>
      </c>
      <c r="AE25" s="14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3.0887086241662143E-3</v>
      </c>
      <c r="AL25">
        <v>0</v>
      </c>
      <c r="AM25">
        <v>3.0200984954241727E-3</v>
      </c>
      <c r="AN25">
        <v>0</v>
      </c>
      <c r="AO25">
        <v>0</v>
      </c>
      <c r="AP25">
        <v>0</v>
      </c>
    </row>
    <row r="26" spans="1:42" x14ac:dyDescent="0.2">
      <c r="A26">
        <v>-0.48888799999999999</v>
      </c>
      <c r="B26">
        <v>0</v>
      </c>
      <c r="C26" s="14">
        <v>0.16709041873565944</v>
      </c>
      <c r="D26" s="14">
        <v>0.25071267708511491</v>
      </c>
      <c r="E26" s="14">
        <v>0.29057813050128334</v>
      </c>
      <c r="F26" s="14">
        <v>5.7540491724750731E-2</v>
      </c>
      <c r="G26" s="14">
        <v>4.679595420887428E-2</v>
      </c>
      <c r="H26" s="14">
        <v>6.1250411506423741E-2</v>
      </c>
      <c r="I26" s="14">
        <v>1.2200589012731577E-2</v>
      </c>
      <c r="J26" s="14">
        <v>1.0871849074656326E-2</v>
      </c>
      <c r="K26" s="14">
        <v>1.0204474055970691E-2</v>
      </c>
      <c r="L26" s="14">
        <v>0</v>
      </c>
      <c r="M26" s="14">
        <v>4.3724026050351306E-5</v>
      </c>
      <c r="N26" s="14">
        <v>0</v>
      </c>
      <c r="O26" s="14">
        <v>0</v>
      </c>
      <c r="P26" s="14">
        <v>2.3872326994357485E-3</v>
      </c>
      <c r="Q26" s="14">
        <v>4.7846439095533544E-3</v>
      </c>
      <c r="R26" s="14">
        <v>3.0899883870200151E-3</v>
      </c>
      <c r="S26" s="14">
        <v>4.2111786877583324E-3</v>
      </c>
      <c r="T26" s="14">
        <v>1.6606785562206738E-2</v>
      </c>
      <c r="U26" s="14">
        <v>0</v>
      </c>
      <c r="V26" s="14">
        <v>1.2137786753526614E-3</v>
      </c>
      <c r="W26" s="14">
        <v>0</v>
      </c>
      <c r="X26" s="14">
        <v>0</v>
      </c>
      <c r="Y26" s="14">
        <v>0</v>
      </c>
      <c r="Z26" s="14">
        <v>2.1788625975905918E-3</v>
      </c>
      <c r="AA26" s="14">
        <v>0</v>
      </c>
      <c r="AB26" s="14">
        <v>0</v>
      </c>
      <c r="AC26" s="14">
        <v>1.3289880836047763E-2</v>
      </c>
      <c r="AD26" s="14">
        <v>5.6788429502093729E-3</v>
      </c>
      <c r="AE26" s="14">
        <v>0</v>
      </c>
      <c r="AF26">
        <v>5.6972508660360077E-3</v>
      </c>
      <c r="AG26">
        <v>1.2860815107803569E-3</v>
      </c>
      <c r="AH26">
        <v>0</v>
      </c>
      <c r="AI26">
        <v>6.5689289592063549E-4</v>
      </c>
      <c r="AJ26">
        <v>8.2125942298749699E-4</v>
      </c>
      <c r="AK26">
        <v>0</v>
      </c>
      <c r="AL26">
        <v>1.8602616720956311E-3</v>
      </c>
      <c r="AM26">
        <v>0</v>
      </c>
      <c r="AN26">
        <v>2.4617716508972265E-3</v>
      </c>
      <c r="AO26">
        <v>9.7121040794168056E-4</v>
      </c>
      <c r="AP26">
        <v>5.3606259500542652E-3</v>
      </c>
    </row>
    <row r="27" spans="1:42" x14ac:dyDescent="0.2">
      <c r="A27">
        <v>-0.48405299999999996</v>
      </c>
      <c r="B27">
        <v>0</v>
      </c>
      <c r="C27" s="14">
        <v>0.30532526351267197</v>
      </c>
      <c r="D27" s="14">
        <v>0.4452585371798683</v>
      </c>
      <c r="E27" s="14">
        <v>0.47803854169403692</v>
      </c>
      <c r="F27" s="14">
        <v>0.11345611628438756</v>
      </c>
      <c r="G27" s="14">
        <v>0.10401280080687303</v>
      </c>
      <c r="H27" s="14">
        <v>0.12040002598576849</v>
      </c>
      <c r="I27" s="14">
        <v>3.4405363002602662E-2</v>
      </c>
      <c r="J27" s="14">
        <v>3.884515657980292E-2</v>
      </c>
      <c r="K27" s="14">
        <v>3.2135824683477754E-2</v>
      </c>
      <c r="L27" s="14">
        <v>1.1397975114620817E-2</v>
      </c>
      <c r="M27" s="14">
        <v>1.2222693721707811E-2</v>
      </c>
      <c r="N27" s="14">
        <v>5.8789919450041861E-3</v>
      </c>
      <c r="O27" s="14">
        <v>1.3671929825756934E-2</v>
      </c>
      <c r="P27" s="14">
        <v>2.3347982327959982E-2</v>
      </c>
      <c r="Q27" s="14">
        <v>1.5666309874272311E-2</v>
      </c>
      <c r="R27" s="14">
        <v>2.1081410988856741E-2</v>
      </c>
      <c r="S27" s="14">
        <v>1.4163880075397262E-2</v>
      </c>
      <c r="T27" s="14">
        <v>1.3274468748149526E-2</v>
      </c>
      <c r="U27" s="14">
        <v>0</v>
      </c>
      <c r="V27" s="14">
        <v>3.4217662251170289E-3</v>
      </c>
      <c r="W27" s="14">
        <v>8.9243463805326328E-3</v>
      </c>
      <c r="X27" s="14">
        <v>0</v>
      </c>
      <c r="Y27" s="14">
        <v>2.2895933379862843E-3</v>
      </c>
      <c r="Z27" s="14">
        <v>3.2537319769746498E-3</v>
      </c>
      <c r="AA27" s="14">
        <v>0</v>
      </c>
      <c r="AB27" s="14">
        <v>0</v>
      </c>
      <c r="AC27" s="14">
        <v>5.4626945349300904E-5</v>
      </c>
      <c r="AD27" s="14">
        <v>8.6502809834031469E-3</v>
      </c>
      <c r="AE27" s="14">
        <v>0</v>
      </c>
      <c r="AF27">
        <v>3.3093058442343892E-3</v>
      </c>
      <c r="AG27">
        <v>4.2933605035936351E-3</v>
      </c>
      <c r="AH27">
        <v>5.0859900470504593E-3</v>
      </c>
      <c r="AI27">
        <v>0</v>
      </c>
      <c r="AJ27">
        <v>1.5860864743293401E-3</v>
      </c>
      <c r="AK27">
        <v>8.4787464453761618E-4</v>
      </c>
      <c r="AL27">
        <v>0</v>
      </c>
      <c r="AM27">
        <v>0</v>
      </c>
      <c r="AN27">
        <v>7.1643683280770976E-3</v>
      </c>
      <c r="AO27">
        <v>0</v>
      </c>
      <c r="AP27">
        <v>3.2820865001814692E-4</v>
      </c>
    </row>
    <row r="28" spans="1:42" x14ac:dyDescent="0.2">
      <c r="A28">
        <v>-0.47921799999999998</v>
      </c>
      <c r="B28">
        <v>2.95968750000003E-3</v>
      </c>
      <c r="C28" s="14">
        <v>0.52056133414267691</v>
      </c>
      <c r="D28" s="14">
        <v>0.72380463116815807</v>
      </c>
      <c r="E28" s="14">
        <v>0.74949918457406195</v>
      </c>
      <c r="F28" s="14">
        <v>0.20262091963475437</v>
      </c>
      <c r="G28" s="14">
        <v>0.18748081461920041</v>
      </c>
      <c r="H28" s="14">
        <v>0.20929981237891659</v>
      </c>
      <c r="I28" s="14">
        <v>6.798428124723821E-2</v>
      </c>
      <c r="J28" s="14">
        <v>6.4193599123959721E-2</v>
      </c>
      <c r="K28" s="14">
        <v>7.1567312496893742E-2</v>
      </c>
      <c r="L28" s="14">
        <v>3.1392442307655366E-2</v>
      </c>
      <c r="M28" s="14">
        <v>2.6589763390734378E-2</v>
      </c>
      <c r="N28" s="14">
        <v>2.7298151041665775E-2</v>
      </c>
      <c r="O28" s="14">
        <v>1.4766074999996937E-2</v>
      </c>
      <c r="P28" s="14">
        <v>3.3589821427777666E-2</v>
      </c>
      <c r="Q28" s="14">
        <v>2.1517053570789701E-2</v>
      </c>
      <c r="R28" s="14">
        <v>3.0323902862218866E-2</v>
      </c>
      <c r="S28" s="14">
        <v>2.8054663461520968E-2</v>
      </c>
      <c r="T28" s="14">
        <v>1.4536224133771869E-2</v>
      </c>
      <c r="U28" s="14">
        <v>4.3959587499997621E-3</v>
      </c>
      <c r="V28" s="14">
        <v>4.4268249999988019E-3</v>
      </c>
      <c r="W28" s="14">
        <v>1.8317644230751218E-2</v>
      </c>
      <c r="X28" s="14">
        <v>1.1292826086954921E-3</v>
      </c>
      <c r="Y28" s="14">
        <v>4.6912187499993374E-3</v>
      </c>
      <c r="Z28" s="14">
        <v>8.9227083333333068E-3</v>
      </c>
      <c r="AA28" s="14">
        <v>9.1464999999999463E-3</v>
      </c>
      <c r="AB28" s="14">
        <v>1.613124999999993E-3</v>
      </c>
      <c r="AC28" s="14">
        <v>0</v>
      </c>
      <c r="AD28" s="14">
        <v>1.0308874999999995E-2</v>
      </c>
      <c r="AE28" s="14">
        <v>7.2555000000000813E-3</v>
      </c>
      <c r="AF28">
        <v>9.2326666666667778E-3</v>
      </c>
      <c r="AG28">
        <v>0</v>
      </c>
      <c r="AH28">
        <v>4.9768125000000385E-3</v>
      </c>
      <c r="AI28">
        <v>2.3102499999999582E-3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5.1271250000000101E-3</v>
      </c>
      <c r="AP28">
        <v>0</v>
      </c>
    </row>
    <row r="29" spans="1:42" x14ac:dyDescent="0.2">
      <c r="A29">
        <v>-0.474383</v>
      </c>
      <c r="B29">
        <v>0</v>
      </c>
      <c r="C29" s="14">
        <v>0.81629563062567456</v>
      </c>
      <c r="D29" s="14">
        <v>1.0933499590499842</v>
      </c>
      <c r="E29" s="14">
        <v>1.118959059141359</v>
      </c>
      <c r="F29" s="14">
        <v>0.30578690177585155</v>
      </c>
      <c r="G29" s="14">
        <v>0.31294899564585643</v>
      </c>
      <c r="H29" s="14">
        <v>0.33669877068586818</v>
      </c>
      <c r="I29" s="14">
        <v>0.12606434374663822</v>
      </c>
      <c r="J29" s="14">
        <v>0.10791717670712686</v>
      </c>
      <c r="K29" s="14">
        <v>0.11974793749621904</v>
      </c>
      <c r="L29" s="14">
        <v>6.9543019230717595E-2</v>
      </c>
      <c r="M29" s="14">
        <v>5.1894933033130419E-2</v>
      </c>
      <c r="N29" s="14">
        <v>5.2217411458332141E-2</v>
      </c>
      <c r="O29" s="14">
        <v>3.1609304999995813E-2</v>
      </c>
      <c r="P29" s="14">
        <v>5.8050749998888596E-2</v>
      </c>
      <c r="Q29" s="14">
        <v>3.4367874999105763E-2</v>
      </c>
      <c r="R29" s="14">
        <v>4.8971464007106502E-2</v>
      </c>
      <c r="S29" s="14">
        <v>4.2382528846129142E-2</v>
      </c>
      <c r="T29" s="14">
        <v>3.2423051719073892E-2</v>
      </c>
      <c r="U29" s="14">
        <v>1.1109376249999192E-2</v>
      </c>
      <c r="V29" s="14">
        <v>1.680695499999818E-2</v>
      </c>
      <c r="W29" s="14">
        <v>3.9305009615362763E-2</v>
      </c>
      <c r="X29" s="14">
        <v>5.5758478260864441E-3</v>
      </c>
      <c r="Y29" s="14">
        <v>5.2336562499990524E-3</v>
      </c>
      <c r="Z29" s="14">
        <v>2.9987916666666115E-3</v>
      </c>
      <c r="AA29" s="14">
        <v>4.3614999999999071E-3</v>
      </c>
      <c r="AB29" s="14">
        <v>4.1833749999999892E-3</v>
      </c>
      <c r="AC29" s="14">
        <v>8.4787499999994242E-4</v>
      </c>
      <c r="AD29" s="14">
        <v>0</v>
      </c>
      <c r="AE29" s="14">
        <v>3.026500000000043E-3</v>
      </c>
      <c r="AF29">
        <v>1.3763333333334238E-3</v>
      </c>
      <c r="AG29">
        <v>0</v>
      </c>
      <c r="AH29">
        <v>0</v>
      </c>
      <c r="AI29">
        <v>1.2437499999999879E-3</v>
      </c>
      <c r="AJ29">
        <v>1.073893749999999E-2</v>
      </c>
      <c r="AK29">
        <v>8.6403749999999224E-3</v>
      </c>
      <c r="AL29">
        <v>0</v>
      </c>
      <c r="AM29">
        <v>3.346499999999919E-3</v>
      </c>
      <c r="AN29">
        <v>0</v>
      </c>
      <c r="AO29">
        <v>0</v>
      </c>
      <c r="AP29">
        <v>7.8342499999999315E-3</v>
      </c>
    </row>
    <row r="30" spans="1:42" x14ac:dyDescent="0.2">
      <c r="A30">
        <v>-0.46954799999999997</v>
      </c>
      <c r="B30">
        <v>1.3807759164469746E-3</v>
      </c>
      <c r="C30" s="14">
        <v>1.2345307012652718</v>
      </c>
      <c r="D30" s="14">
        <v>1.6133950530467824</v>
      </c>
      <c r="E30" s="14">
        <v>1.6406687020365238</v>
      </c>
      <c r="F30" s="14">
        <v>0.48245170512627489</v>
      </c>
      <c r="G30" s="14">
        <v>0.50316600945841783</v>
      </c>
      <c r="H30" s="14">
        <v>0.54284755707975252</v>
      </c>
      <c r="I30" s="14">
        <v>0.20208126199129295</v>
      </c>
      <c r="J30" s="14">
        <v>0.17614061925137459</v>
      </c>
      <c r="K30" s="14">
        <v>0.20205442530965689</v>
      </c>
      <c r="L30" s="14">
        <v>0.10463148642375264</v>
      </c>
      <c r="M30" s="14">
        <v>9.3824002702171949E-2</v>
      </c>
      <c r="N30" s="14">
        <v>9.2448570554993892E-2</v>
      </c>
      <c r="O30" s="14">
        <v>5.3265450174235895E-2</v>
      </c>
      <c r="P30" s="14">
        <v>7.5511589098710252E-2</v>
      </c>
      <c r="Q30" s="14">
        <v>6.1873618695626353E-2</v>
      </c>
      <c r="R30" s="14">
        <v>7.0025956342087414E-2</v>
      </c>
      <c r="S30" s="14">
        <v>6.6992312232252993E-2</v>
      </c>
      <c r="T30" s="14">
        <v>5.4683807104723314E-2</v>
      </c>
      <c r="U30" s="14">
        <v>1.4597470559173487E-2</v>
      </c>
      <c r="V30" s="14">
        <v>3.9906013774880122E-2</v>
      </c>
      <c r="W30" s="14">
        <v>6.4120307465581505E-2</v>
      </c>
      <c r="X30" s="14">
        <v>8.343489939138804E-4</v>
      </c>
      <c r="Y30" s="14">
        <v>5.1195316620120668E-3</v>
      </c>
      <c r="Z30" s="14">
        <v>2.1057680230253117E-3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>
        <v>3.3626941557659551E-3</v>
      </c>
      <c r="AG30">
        <v>5.0410651207278834E-3</v>
      </c>
      <c r="AH30">
        <v>0</v>
      </c>
      <c r="AI30">
        <v>5.9739835065406588E-3</v>
      </c>
      <c r="AJ30">
        <v>3.0963359443669791E-3</v>
      </c>
      <c r="AK30">
        <v>0</v>
      </c>
      <c r="AL30">
        <v>3.6088874928906778E-3</v>
      </c>
      <c r="AM30">
        <v>3.5002783206659061E-3</v>
      </c>
      <c r="AN30">
        <v>0</v>
      </c>
      <c r="AO30">
        <v>0</v>
      </c>
      <c r="AP30">
        <v>7.4415226203400353E-3</v>
      </c>
    </row>
    <row r="31" spans="1:42" x14ac:dyDescent="0.2">
      <c r="A31">
        <v>-0.46471299999999999</v>
      </c>
      <c r="B31">
        <v>0</v>
      </c>
      <c r="C31" s="14">
        <v>1.8050135460614671</v>
      </c>
      <c r="D31" s="14">
        <v>2.3224389131585514</v>
      </c>
      <c r="E31" s="14">
        <v>2.3548771132595552</v>
      </c>
      <c r="F31" s="14">
        <v>0.73436632968602478</v>
      </c>
      <c r="G31" s="14">
        <v>0.73538285605688447</v>
      </c>
      <c r="H31" s="14">
        <v>0.80499617156056935</v>
      </c>
      <c r="I31" s="14">
        <v>0.30784803598120269</v>
      </c>
      <c r="J31" s="14">
        <v>0.28067592675670305</v>
      </c>
      <c r="K31" s="14">
        <v>0.31279777593720715</v>
      </c>
      <c r="L31" s="14">
        <v>0.16946884388676031</v>
      </c>
      <c r="M31" s="14">
        <v>0.14997197239785898</v>
      </c>
      <c r="N31" s="14">
        <v>0.14492962833165113</v>
      </c>
      <c r="O31" s="14">
        <v>7.9296510522717245E-2</v>
      </c>
      <c r="P31" s="14">
        <v>0.12644033872724247</v>
      </c>
      <c r="Q31" s="14">
        <v>9.9224284660351714E-2</v>
      </c>
      <c r="R31" s="14">
        <v>0.11273637986716145</v>
      </c>
      <c r="S31" s="14">
        <v>9.8382013619892072E-2</v>
      </c>
      <c r="T31" s="14">
        <v>8.3945490290720182E-2</v>
      </c>
      <c r="U31" s="14">
        <v>3.2521491677522718E-2</v>
      </c>
      <c r="V31" s="14">
        <v>5.0099001324644288E-2</v>
      </c>
      <c r="W31" s="14">
        <v>8.29205377814074E-2</v>
      </c>
      <c r="X31" s="14">
        <v>7.0307861121776671E-3</v>
      </c>
      <c r="Y31" s="14">
        <v>8.8340949860384876E-3</v>
      </c>
      <c r="Z31" s="14">
        <v>0</v>
      </c>
      <c r="AA31" s="14">
        <v>0</v>
      </c>
      <c r="AB31" s="14">
        <v>0</v>
      </c>
      <c r="AC31" s="14">
        <v>9.9522964169380668E-3</v>
      </c>
      <c r="AD31" s="14">
        <v>0</v>
      </c>
      <c r="AE31" s="14">
        <v>0</v>
      </c>
      <c r="AF31">
        <v>3.177491339642069E-4</v>
      </c>
      <c r="AG31">
        <v>7.1394536218383209E-4</v>
      </c>
      <c r="AH31">
        <v>0</v>
      </c>
      <c r="AI31">
        <v>0</v>
      </c>
      <c r="AJ31">
        <v>4.2035078331007503E-3</v>
      </c>
      <c r="AK31">
        <v>3.5468993330245446E-4</v>
      </c>
      <c r="AL31">
        <v>0</v>
      </c>
      <c r="AM31">
        <v>0</v>
      </c>
      <c r="AN31">
        <v>1.5579461765162783E-3</v>
      </c>
      <c r="AO31">
        <v>0</v>
      </c>
      <c r="AP31">
        <v>3.0025678610204887E-3</v>
      </c>
    </row>
    <row r="32" spans="1:42" x14ac:dyDescent="0.2">
      <c r="A32">
        <v>-0.45987699999999998</v>
      </c>
      <c r="B32">
        <v>5.9509896075699009E-4</v>
      </c>
      <c r="C32" s="14">
        <v>2.6152471976583702</v>
      </c>
      <c r="D32" s="14">
        <v>3.2712336443952341</v>
      </c>
      <c r="E32" s="14">
        <v>3.2703363779391643</v>
      </c>
      <c r="F32" s="14">
        <v>1.1026563845714779</v>
      </c>
      <c r="G32" s="14">
        <v>1.0831000403694131</v>
      </c>
      <c r="H32" s="14">
        <v>1.1633961613500285</v>
      </c>
      <c r="I32" s="14">
        <v>0.47136596400918118</v>
      </c>
      <c r="J32" s="14">
        <v>0.43377431457389282</v>
      </c>
      <c r="K32" s="14">
        <v>0.46860422405197788</v>
      </c>
      <c r="L32" s="14">
        <v>0.24852707918998806</v>
      </c>
      <c r="M32" s="14">
        <v>0.22602674188046468</v>
      </c>
      <c r="N32" s="14">
        <v>0.2249744966683449</v>
      </c>
      <c r="O32" s="14">
        <v>0.12370324947726863</v>
      </c>
      <c r="P32" s="14">
        <v>0.1922458041261278</v>
      </c>
      <c r="Q32" s="14">
        <v>0.14773157247946966</v>
      </c>
      <c r="R32" s="14">
        <v>0.17054135825530314</v>
      </c>
      <c r="S32" s="14">
        <v>0.14508537099540886</v>
      </c>
      <c r="T32" s="14">
        <v>0.12633275107408803</v>
      </c>
      <c r="U32" s="14">
        <v>5.1103098322473284E-2</v>
      </c>
      <c r="V32" s="14">
        <v>7.5603558675349625E-2</v>
      </c>
      <c r="W32" s="14">
        <v>0.10817330837237638</v>
      </c>
      <c r="X32" s="14">
        <v>1.541473562695006E-2</v>
      </c>
      <c r="Y32" s="14">
        <v>1.9111155013958214E-2</v>
      </c>
      <c r="Z32" s="14">
        <v>2.3272567380913101E-3</v>
      </c>
      <c r="AA32" s="14">
        <v>3.8940548317044632E-3</v>
      </c>
      <c r="AB32" s="14">
        <v>7.8066912827663426E-3</v>
      </c>
      <c r="AC32" s="14">
        <v>5.7967035830619462E-3</v>
      </c>
      <c r="AD32" s="14">
        <v>5.4448313649012592E-3</v>
      </c>
      <c r="AE32" s="14">
        <v>2.5648656185600638E-3</v>
      </c>
      <c r="AF32">
        <v>0</v>
      </c>
      <c r="AG32">
        <v>5.7935546378160563E-3</v>
      </c>
      <c r="AH32">
        <v>8.6146129982944686E-4</v>
      </c>
      <c r="AI32">
        <v>9.8515242231533851E-4</v>
      </c>
      <c r="AJ32">
        <v>0</v>
      </c>
      <c r="AK32">
        <v>0</v>
      </c>
      <c r="AL32">
        <v>4.1112346827976154E-4</v>
      </c>
      <c r="AM32">
        <v>7.0881650380020256E-3</v>
      </c>
      <c r="AN32">
        <v>0</v>
      </c>
      <c r="AO32">
        <v>3.9722430587870727E-3</v>
      </c>
      <c r="AP32">
        <v>4.4714321389792699E-3</v>
      </c>
    </row>
    <row r="33" spans="1:42" x14ac:dyDescent="0.2">
      <c r="A33">
        <v>-0.455042</v>
      </c>
      <c r="B33">
        <v>1.0190329869190218E-3</v>
      </c>
      <c r="C33" s="14">
        <v>3.689729042469712</v>
      </c>
      <c r="D33" s="14">
        <v>4.4282755045189344</v>
      </c>
      <c r="E33" s="14">
        <v>4.3870427891834227</v>
      </c>
      <c r="F33" s="14">
        <v>1.5759450091313165</v>
      </c>
      <c r="G33" s="14">
        <v>1.5813158869682482</v>
      </c>
      <c r="H33" s="14">
        <v>1.6311677758320056</v>
      </c>
      <c r="I33" s="14">
        <v>0.67731973799912126</v>
      </c>
      <c r="J33" s="14">
        <v>0.65074662207936418</v>
      </c>
      <c r="K33" s="14">
        <v>0.68916057467956227</v>
      </c>
      <c r="L33" s="14">
        <v>0.36673943665299635</v>
      </c>
      <c r="M33" s="14">
        <v>0.34014371157617496</v>
      </c>
      <c r="N33" s="14">
        <v>0.33367455444500205</v>
      </c>
      <c r="O33" s="14">
        <v>0.18823430982575007</v>
      </c>
      <c r="P33" s="14">
        <v>0.277080553754672</v>
      </c>
      <c r="Q33" s="14">
        <v>0.22489423844420464</v>
      </c>
      <c r="R33" s="14">
        <v>0.24234578316143873</v>
      </c>
      <c r="S33" s="14">
        <v>0.22306907238304829</v>
      </c>
      <c r="T33" s="14">
        <v>0.18468743426012757</v>
      </c>
      <c r="U33" s="14">
        <v>8.7840119440822373E-2</v>
      </c>
      <c r="V33" s="14">
        <v>0.11882754622511382</v>
      </c>
      <c r="W33" s="14">
        <v>0.16689453868820248</v>
      </c>
      <c r="X33" s="14">
        <v>3.9986172745213877E-2</v>
      </c>
      <c r="Y33" s="14">
        <v>4.5574718337984654E-2</v>
      </c>
      <c r="Z33" s="14">
        <v>1.2449260182537891E-2</v>
      </c>
      <c r="AA33" s="14">
        <v>1.2993684943901074E-2</v>
      </c>
      <c r="AB33" s="14">
        <v>8.7419637609212897E-3</v>
      </c>
      <c r="AC33" s="14">
        <v>0</v>
      </c>
      <c r="AD33" s="14">
        <v>3.773594581950368E-3</v>
      </c>
      <c r="AE33" s="14">
        <v>5.5061694919007476E-3</v>
      </c>
      <c r="AF33">
        <v>0</v>
      </c>
      <c r="AG33">
        <v>2.0134348792719692E-3</v>
      </c>
      <c r="AH33">
        <v>0</v>
      </c>
      <c r="AI33">
        <v>6.8908285852162798E-3</v>
      </c>
      <c r="AJ33">
        <v>4.9320363476552664E-3</v>
      </c>
      <c r="AK33">
        <v>0</v>
      </c>
      <c r="AL33">
        <v>2.1057078227598724E-3</v>
      </c>
      <c r="AM33">
        <v>3.4127216793338189E-3</v>
      </c>
      <c r="AN33">
        <v>2.515794064422705E-3</v>
      </c>
      <c r="AO33">
        <v>0</v>
      </c>
      <c r="AP33">
        <v>0</v>
      </c>
    </row>
    <row r="34" spans="1:42" x14ac:dyDescent="0.2">
      <c r="A34">
        <v>-0.45020699999999997</v>
      </c>
      <c r="B34">
        <v>4.7241250000000234E-3</v>
      </c>
      <c r="C34" s="14">
        <v>5.0004591131395308</v>
      </c>
      <c r="D34" s="14">
        <v>5.8005655985395341</v>
      </c>
      <c r="E34" s="14">
        <v>5.7189984321209408</v>
      </c>
      <c r="F34" s="14">
        <v>2.1664838124819177</v>
      </c>
      <c r="G34" s="14">
        <v>2.2545309007815444</v>
      </c>
      <c r="H34" s="14">
        <v>2.310689562228204</v>
      </c>
      <c r="I34" s="14">
        <v>0.95196165624383644</v>
      </c>
      <c r="J34" s="14">
        <v>0.93728106462389726</v>
      </c>
      <c r="K34" s="14">
        <v>0.9788400624930681</v>
      </c>
      <c r="L34" s="14">
        <v>0.52738990384603268</v>
      </c>
      <c r="M34" s="14">
        <v>0.48007278124526287</v>
      </c>
      <c r="N34" s="14">
        <v>0.46446771354166383</v>
      </c>
      <c r="O34" s="14">
        <v>0.28820245499999031</v>
      </c>
      <c r="P34" s="14">
        <v>0.39363539285451743</v>
      </c>
      <c r="Q34" s="14">
        <v>0.31824398214074434</v>
      </c>
      <c r="R34" s="14">
        <v>0.34127427825581158</v>
      </c>
      <c r="S34" s="14">
        <v>0.33102185576917276</v>
      </c>
      <c r="T34" s="14">
        <v>0.2614171896458618</v>
      </c>
      <c r="U34" s="14">
        <v>0.13332721374999679</v>
      </c>
      <c r="V34" s="14">
        <v>0.17911360499999573</v>
      </c>
      <c r="W34" s="14">
        <v>0.2376478365384217</v>
      </c>
      <c r="X34" s="14">
        <v>5.5369673913041262E-2</v>
      </c>
      <c r="Y34" s="14">
        <v>7.2695343749997865E-2</v>
      </c>
      <c r="Z34" s="14">
        <v>1.9509327380951458E-2</v>
      </c>
      <c r="AA34" s="14">
        <v>2.6030374999999273E-2</v>
      </c>
      <c r="AB34" s="14">
        <v>1.1645299999998748E-2</v>
      </c>
      <c r="AC34" s="14">
        <v>3.8550955882351579E-3</v>
      </c>
      <c r="AD34" s="14">
        <v>5.6014107142842162E-3</v>
      </c>
      <c r="AE34" s="14">
        <v>1.2603526785713859E-2</v>
      </c>
      <c r="AF34">
        <v>2.7616249999999898E-3</v>
      </c>
      <c r="AG34">
        <v>8.5753124999998764E-4</v>
      </c>
      <c r="AH34">
        <v>7.3686874999999707E-3</v>
      </c>
      <c r="AI34">
        <v>3.1717083333334672E-3</v>
      </c>
      <c r="AJ34">
        <v>1.9861249999999497E-3</v>
      </c>
      <c r="AK34">
        <v>3.4320000000001016E-3</v>
      </c>
      <c r="AL34">
        <v>0</v>
      </c>
      <c r="AM34">
        <v>1.1112499999999748E-2</v>
      </c>
      <c r="AN34">
        <v>0</v>
      </c>
      <c r="AO34">
        <v>3.1449999999999534E-4</v>
      </c>
      <c r="AP34">
        <v>1.4127083333332902E-3</v>
      </c>
    </row>
    <row r="35" spans="1:42" x14ac:dyDescent="0.2">
      <c r="A35">
        <v>-0.44537199999999999</v>
      </c>
      <c r="B35">
        <v>0</v>
      </c>
      <c r="C35" s="14">
        <v>6.5316884096678258</v>
      </c>
      <c r="D35" s="14">
        <v>7.3828569264570358</v>
      </c>
      <c r="E35" s="14">
        <v>7.3047033067517191</v>
      </c>
      <c r="F35" s="14">
        <v>2.9311457946232795</v>
      </c>
      <c r="G35" s="14">
        <v>3.129870081809301</v>
      </c>
      <c r="H35" s="14">
        <v>3.1967105205386241</v>
      </c>
      <c r="I35" s="14">
        <v>1.333351718743327</v>
      </c>
      <c r="J35" s="14">
        <v>1.3174406422074922</v>
      </c>
      <c r="K35" s="14">
        <v>1.336332687492495</v>
      </c>
      <c r="L35" s="14">
        <v>0.75257048076909661</v>
      </c>
      <c r="M35" s="14">
        <v>0.67031395088772838</v>
      </c>
      <c r="N35" s="14">
        <v>0.65760497395833006</v>
      </c>
      <c r="O35" s="14">
        <v>0.42317068499998933</v>
      </c>
      <c r="P35" s="14">
        <v>0.55897032142566372</v>
      </c>
      <c r="Q35" s="14">
        <v>0.46824980356908874</v>
      </c>
      <c r="R35" s="14">
        <v>0.47782884353842148</v>
      </c>
      <c r="S35" s="14">
        <v>0.45822472115378199</v>
      </c>
      <c r="T35" s="14">
        <v>0.35477201723129104</v>
      </c>
      <c r="U35" s="14">
        <v>0.19412738124999629</v>
      </c>
      <c r="V35" s="14">
        <v>0.25099373499999533</v>
      </c>
      <c r="W35" s="14">
        <v>0.31922820192303392</v>
      </c>
      <c r="X35" s="14">
        <v>9.0660239130432418E-2</v>
      </c>
      <c r="Y35" s="14">
        <v>0.10419003124999748</v>
      </c>
      <c r="Z35" s="14">
        <v>3.4881458333332116E-2</v>
      </c>
      <c r="AA35" s="14">
        <v>2.9662124999998984E-2</v>
      </c>
      <c r="AB35" s="14">
        <v>2.4611699999998349E-2</v>
      </c>
      <c r="AC35" s="14">
        <v>8.0662867647055547E-3</v>
      </c>
      <c r="AD35" s="14">
        <v>1.3117279761903133E-2</v>
      </c>
      <c r="AE35" s="14">
        <v>7.8889374999994155E-3</v>
      </c>
      <c r="AF35">
        <v>7.19087499999993E-3</v>
      </c>
      <c r="AG35">
        <v>0</v>
      </c>
      <c r="AH35">
        <v>0</v>
      </c>
      <c r="AI35">
        <v>7.218791666666613E-3</v>
      </c>
      <c r="AJ35">
        <v>2.1023749999999897E-3</v>
      </c>
      <c r="AK35">
        <v>0</v>
      </c>
      <c r="AL35">
        <v>0</v>
      </c>
      <c r="AM35">
        <v>5.7974999999999E-3</v>
      </c>
      <c r="AN35">
        <v>4.7854374999999338E-3</v>
      </c>
      <c r="AO35">
        <v>0</v>
      </c>
      <c r="AP35">
        <v>2.4881249999999522E-3</v>
      </c>
    </row>
    <row r="36" spans="1:42" x14ac:dyDescent="0.2">
      <c r="A36">
        <v>-0.44053699999999996</v>
      </c>
      <c r="B36">
        <v>0</v>
      </c>
      <c r="C36" s="14">
        <v>8.3009164803579818</v>
      </c>
      <c r="D36" s="14">
        <v>9.1961460204927015</v>
      </c>
      <c r="E36" s="14">
        <v>9.1459069497160428</v>
      </c>
      <c r="F36" s="14">
        <v>3.9206825979739994</v>
      </c>
      <c r="G36" s="14">
        <v>4.1557090956230889</v>
      </c>
      <c r="H36" s="14">
        <v>4.291856306936376</v>
      </c>
      <c r="I36" s="14">
        <v>1.8464296369880826</v>
      </c>
      <c r="J36" s="14">
        <v>1.7890370847522163</v>
      </c>
      <c r="K36" s="14">
        <v>1.8325121753060463</v>
      </c>
      <c r="L36" s="14">
        <v>1.0648139479621339</v>
      </c>
      <c r="M36" s="14">
        <v>0.93186702055684734</v>
      </c>
      <c r="N36" s="14">
        <v>0.91899213305499194</v>
      </c>
      <c r="O36" s="14">
        <v>0.58701383017422959</v>
      </c>
      <c r="P36" s="14">
        <v>0.76521116052552651</v>
      </c>
      <c r="Q36" s="14">
        <v>0.65128754726564253</v>
      </c>
      <c r="R36" s="14">
        <v>0.65507034068831105</v>
      </c>
      <c r="S36" s="14">
        <v>0.62480150453990668</v>
      </c>
      <c r="T36" s="14">
        <v>0.47547077261708237</v>
      </c>
      <c r="U36" s="14">
        <v>0.27877047555917078</v>
      </c>
      <c r="V36" s="14">
        <v>0.34059179377487725</v>
      </c>
      <c r="W36" s="14">
        <v>0.4114184997732534</v>
      </c>
      <c r="X36" s="14">
        <v>0.13163674029825989</v>
      </c>
      <c r="Y36" s="14">
        <v>0.14312365666201077</v>
      </c>
      <c r="Z36" s="14">
        <v>4.0191525531745764E-2</v>
      </c>
      <c r="AA36" s="14">
        <v>4.5980815056097191E-2</v>
      </c>
      <c r="AB36" s="14">
        <v>4.3047036239075798E-2</v>
      </c>
      <c r="AC36" s="14">
        <v>1.7527419976459013E-2</v>
      </c>
      <c r="AD36" s="14">
        <v>1.778909589423705E-2</v>
      </c>
      <c r="AE36" s="14">
        <v>1.6298294793812507E-2</v>
      </c>
      <c r="AF36">
        <v>1.776931311721297E-3</v>
      </c>
      <c r="AG36">
        <v>1.2849765524016732E-3</v>
      </c>
      <c r="AH36">
        <v>1.2268172535023769E-4</v>
      </c>
      <c r="AI36">
        <v>6.999671414783859E-3</v>
      </c>
      <c r="AJ36">
        <v>0</v>
      </c>
      <c r="AK36">
        <v>2.3105513675611977E-3</v>
      </c>
      <c r="AL36">
        <v>3.0350761077504451E-3</v>
      </c>
      <c r="AM36">
        <v>4.6372783206658497E-3</v>
      </c>
      <c r="AN36">
        <v>0</v>
      </c>
      <c r="AO36">
        <v>0</v>
      </c>
      <c r="AP36">
        <v>9.5793413818657802E-3</v>
      </c>
    </row>
    <row r="37" spans="1:42" x14ac:dyDescent="0.2">
      <c r="A37">
        <v>-0.43570199999999998</v>
      </c>
      <c r="B37">
        <v>2.3986384364821367E-3</v>
      </c>
      <c r="C37" s="14">
        <v>10.294143325209999</v>
      </c>
      <c r="D37" s="14">
        <v>11.212433880646527</v>
      </c>
      <c r="E37" s="14">
        <v>11.184859361013913</v>
      </c>
      <c r="F37" s="14">
        <v>5.1403432225340753</v>
      </c>
      <c r="G37" s="14">
        <v>5.3547959422229088</v>
      </c>
      <c r="H37" s="14">
        <v>5.5654999214214573</v>
      </c>
      <c r="I37" s="14">
        <v>2.4863814109781033</v>
      </c>
      <c r="J37" s="14">
        <v>2.4028203922580698</v>
      </c>
      <c r="K37" s="14">
        <v>2.4590655259337213</v>
      </c>
      <c r="L37" s="14">
        <v>1.4319623054251442</v>
      </c>
      <c r="M37" s="14">
        <v>1.2677949902526198</v>
      </c>
      <c r="N37" s="14">
        <v>1.2768471908316492</v>
      </c>
      <c r="O37" s="14">
        <v>0.77535589052271126</v>
      </c>
      <c r="P37" s="14">
        <v>1.0117019101541054</v>
      </c>
      <c r="Q37" s="14">
        <v>0.86954321323040562</v>
      </c>
      <c r="R37" s="14">
        <v>0.84499876970547994</v>
      </c>
      <c r="S37" s="14">
        <v>0.81019120592754712</v>
      </c>
      <c r="T37" s="14">
        <v>0.63488745580323558</v>
      </c>
      <c r="U37" s="14">
        <v>0.39753849667751984</v>
      </c>
      <c r="V37" s="14">
        <v>0.44178378132464169</v>
      </c>
      <c r="W37" s="14">
        <v>0.54462373008908027</v>
      </c>
      <c r="X37" s="14">
        <v>0.18267717741652378</v>
      </c>
      <c r="Y37" s="14">
        <v>0.19824321998603733</v>
      </c>
      <c r="Z37" s="14">
        <v>6.0594528976192441E-2</v>
      </c>
      <c r="AA37" s="14">
        <v>6.3174445168293847E-2</v>
      </c>
      <c r="AB37" s="14">
        <v>6.3888308717230835E-2</v>
      </c>
      <c r="AC37" s="14">
        <v>2.3269495223495751E-2</v>
      </c>
      <c r="AD37" s="14">
        <v>2.2022859111286208E-2</v>
      </c>
      <c r="AE37" s="14">
        <v>2.4708598667153248E-2</v>
      </c>
      <c r="AF37">
        <v>0</v>
      </c>
      <c r="AG37">
        <v>0</v>
      </c>
      <c r="AH37">
        <v>3.8690451760508004E-3</v>
      </c>
      <c r="AI37">
        <v>2.9523475776848107E-3</v>
      </c>
      <c r="AJ37">
        <v>2.4433909570342749E-3</v>
      </c>
      <c r="AK37">
        <v>4.9626541026833726E-3</v>
      </c>
      <c r="AL37">
        <v>7.9222832325109849E-4</v>
      </c>
      <c r="AM37">
        <v>0</v>
      </c>
      <c r="AN37">
        <v>6.2059367923066322E-3</v>
      </c>
      <c r="AO37">
        <v>2.638455250504157E-3</v>
      </c>
      <c r="AP37">
        <v>8.1383574789306579E-3</v>
      </c>
    </row>
    <row r="38" spans="1:42" x14ac:dyDescent="0.2">
      <c r="A38">
        <v>-0.43086599999999997</v>
      </c>
      <c r="B38">
        <v>0</v>
      </c>
      <c r="C38" s="14">
        <v>12.514870976867734</v>
      </c>
      <c r="D38" s="14">
        <v>13.398471611928267</v>
      </c>
      <c r="E38" s="14">
        <v>13.365562625773695</v>
      </c>
      <c r="F38" s="14">
        <v>6.5253782774198816</v>
      </c>
      <c r="G38" s="14">
        <v>6.7708841265369077</v>
      </c>
      <c r="H38" s="14">
        <v>6.9957689112155599</v>
      </c>
      <c r="I38" s="14">
        <v>3.2243343390062029</v>
      </c>
      <c r="J38" s="14">
        <v>3.1644787800758314</v>
      </c>
      <c r="K38" s="14">
        <v>3.2282449740486276</v>
      </c>
      <c r="L38" s="14">
        <v>1.8822375407283747</v>
      </c>
      <c r="M38" s="14">
        <v>1.7069737597353183</v>
      </c>
      <c r="N38" s="14">
        <v>1.7086400591683431</v>
      </c>
      <c r="O38" s="14">
        <v>1.028011629477263</v>
      </c>
      <c r="P38" s="14">
        <v>1.3054433755530428</v>
      </c>
      <c r="Q38" s="14">
        <v>1.1249865010495652</v>
      </c>
      <c r="R38" s="14">
        <v>1.0729897542529971</v>
      </c>
      <c r="S38" s="14">
        <v>1.0487375633030651</v>
      </c>
      <c r="T38" s="14">
        <v>0.84658571658677373</v>
      </c>
      <c r="U38" s="14">
        <v>0.5281191033224707</v>
      </c>
      <c r="V38" s="14">
        <v>0.56878933867534709</v>
      </c>
      <c r="W38" s="14">
        <v>0.70298550068005006</v>
      </c>
      <c r="X38" s="14">
        <v>0.24181112693129614</v>
      </c>
      <c r="Y38" s="14">
        <v>0.26780128001395709</v>
      </c>
      <c r="Z38" s="14">
        <v>7.2249042452375289E-2</v>
      </c>
      <c r="AA38" s="14">
        <v>8.1462554831702949E-2</v>
      </c>
      <c r="AB38" s="14">
        <v>7.9698091282764949E-2</v>
      </c>
      <c r="AC38" s="14">
        <v>3.513703418826708E-2</v>
      </c>
      <c r="AD38" s="14">
        <v>3.9164045650614043E-2</v>
      </c>
      <c r="AE38" s="14">
        <v>4.077532990427335E-2</v>
      </c>
      <c r="AF38">
        <v>0</v>
      </c>
      <c r="AG38">
        <v>0</v>
      </c>
      <c r="AH38">
        <v>2.1474548239490687E-3</v>
      </c>
      <c r="AI38">
        <v>0</v>
      </c>
      <c r="AJ38">
        <v>0</v>
      </c>
      <c r="AK38">
        <v>4.1153458973165469E-3</v>
      </c>
      <c r="AL38">
        <v>0</v>
      </c>
      <c r="AM38">
        <v>5.8837335194672491E-4</v>
      </c>
      <c r="AN38">
        <v>0</v>
      </c>
      <c r="AO38">
        <v>0</v>
      </c>
      <c r="AP38">
        <v>0</v>
      </c>
    </row>
    <row r="39" spans="1:42" x14ac:dyDescent="0.2">
      <c r="A39">
        <v>-0.42603099999999999</v>
      </c>
      <c r="B39">
        <v>0</v>
      </c>
      <c r="C39" s="14">
        <v>14.933346821744889</v>
      </c>
      <c r="D39" s="14">
        <v>15.771758472100004</v>
      </c>
      <c r="E39" s="14">
        <v>15.702013037103432</v>
      </c>
      <c r="F39" s="14">
        <v>8.0609119019801039</v>
      </c>
      <c r="G39" s="14">
        <v>8.4083449731373321</v>
      </c>
      <c r="H39" s="14">
        <v>8.6360365257025542</v>
      </c>
      <c r="I39" s="14">
        <v>4.0720981129962723</v>
      </c>
      <c r="J39" s="14">
        <v>4.0836360875819198</v>
      </c>
      <c r="K39" s="14">
        <v>4.1076723246763587</v>
      </c>
      <c r="L39" s="14">
        <v>2.4092918981913858</v>
      </c>
      <c r="M39" s="14">
        <v>2.2246817294311287</v>
      </c>
      <c r="N39" s="14">
        <v>2.2211501169450005</v>
      </c>
      <c r="O39" s="14">
        <v>1.3410416898257445</v>
      </c>
      <c r="P39" s="14">
        <v>1.7089971251816443</v>
      </c>
      <c r="Q39" s="14">
        <v>1.4567731670143464</v>
      </c>
      <c r="R39" s="14">
        <v>1.352168185983242</v>
      </c>
      <c r="S39" s="14">
        <v>1.3406582646907061</v>
      </c>
      <c r="T39" s="14">
        <v>1.0956903997729968</v>
      </c>
      <c r="U39" s="14">
        <v>0.69282512444081989</v>
      </c>
      <c r="V39" s="14">
        <v>0.74807432622511139</v>
      </c>
      <c r="W39" s="14">
        <v>0.90356573099587723</v>
      </c>
      <c r="X39" s="14">
        <v>0.32106956404956011</v>
      </c>
      <c r="Y39" s="14">
        <v>0.34238984333798361</v>
      </c>
      <c r="Z39" s="14">
        <v>0.11058904589682184</v>
      </c>
      <c r="AA39" s="14">
        <v>0.10806218494389952</v>
      </c>
      <c r="AB39" s="14">
        <v>0.1062273637609199</v>
      </c>
      <c r="AC39" s="14">
        <v>4.2847109435303898E-2</v>
      </c>
      <c r="AD39" s="14">
        <v>4.471080886766321E-2</v>
      </c>
      <c r="AE39" s="14">
        <v>5.3778633777614049E-2</v>
      </c>
      <c r="AF39">
        <v>5.7697074694514905E-3</v>
      </c>
      <c r="AG39">
        <v>3.4432628612787175E-3</v>
      </c>
      <c r="AH39">
        <v>0</v>
      </c>
      <c r="AI39">
        <v>0</v>
      </c>
      <c r="AJ39">
        <v>0</v>
      </c>
      <c r="AK39">
        <v>0</v>
      </c>
      <c r="AL39">
        <v>3.5579323716461442E-4</v>
      </c>
      <c r="AM39">
        <v>0</v>
      </c>
      <c r="AN39">
        <v>8.7500427675232251E-3</v>
      </c>
      <c r="AO39">
        <v>0</v>
      </c>
      <c r="AP39">
        <v>0</v>
      </c>
    </row>
    <row r="40" spans="1:42" x14ac:dyDescent="0.2">
      <c r="A40">
        <v>-0.42119599999999996</v>
      </c>
      <c r="B40">
        <v>1.4767500000000267E-3</v>
      </c>
      <c r="C40" s="14">
        <v>17.560070892485196</v>
      </c>
      <c r="D40" s="14">
        <v>18.369043566171403</v>
      </c>
      <c r="E40" s="14">
        <v>18.363962680131333</v>
      </c>
      <c r="F40" s="14">
        <v>9.7373217053311105</v>
      </c>
      <c r="G40" s="14">
        <v>10.233054986952325</v>
      </c>
      <c r="H40" s="14">
        <v>10.465303312104115</v>
      </c>
      <c r="I40" s="14">
        <v>5.0506740312411269</v>
      </c>
      <c r="J40" s="14">
        <v>5.1034165301271122</v>
      </c>
      <c r="K40" s="14">
        <v>5.1025998124900207</v>
      </c>
      <c r="L40" s="14">
        <v>2.9558153653844252</v>
      </c>
      <c r="M40" s="14">
        <v>2.7666717991003233</v>
      </c>
      <c r="N40" s="14">
        <v>2.7610052760416623</v>
      </c>
      <c r="O40" s="14">
        <v>1.7581958349999849</v>
      </c>
      <c r="P40" s="14">
        <v>2.1849549642815518</v>
      </c>
      <c r="Q40" s="14">
        <v>1.8747469107109362</v>
      </c>
      <c r="R40" s="14">
        <v>1.6790336885539179</v>
      </c>
      <c r="S40" s="14">
        <v>1.6894530480768319</v>
      </c>
      <c r="T40" s="14">
        <v>1.3791381551589275</v>
      </c>
      <c r="U40" s="14">
        <v>0.8610302187499943</v>
      </c>
      <c r="V40" s="14">
        <v>0.94682838499999344</v>
      </c>
      <c r="W40" s="14">
        <v>1.1045840288460975</v>
      </c>
      <c r="X40" s="14">
        <v>0.40623406521738781</v>
      </c>
      <c r="Y40" s="14">
        <v>0.42879146874999685</v>
      </c>
      <c r="Z40" s="14">
        <v>0.14127411309523563</v>
      </c>
      <c r="AA40" s="14">
        <v>0.14275587499999787</v>
      </c>
      <c r="AB40" s="14">
        <v>0.14434969999999736</v>
      </c>
      <c r="AC40" s="14">
        <v>6.5433242647057521E-2</v>
      </c>
      <c r="AD40" s="14">
        <v>6.513262499999728E-2</v>
      </c>
      <c r="AE40" s="14">
        <v>7.2469991071427264E-2</v>
      </c>
      <c r="AF40">
        <v>3.7097083333328396E-3</v>
      </c>
      <c r="AG40">
        <v>2.8583124999993492E-3</v>
      </c>
      <c r="AH40">
        <v>3.627722222222074E-3</v>
      </c>
      <c r="AI40">
        <v>0</v>
      </c>
      <c r="AJ40">
        <v>7.3955357142829747E-5</v>
      </c>
      <c r="AK40">
        <v>1.0409884544362313E-3</v>
      </c>
      <c r="AL40">
        <v>0</v>
      </c>
      <c r="AM40">
        <v>7.2953571428557851E-4</v>
      </c>
      <c r="AN40">
        <v>0</v>
      </c>
      <c r="AO40">
        <v>2.5962500000004107E-4</v>
      </c>
      <c r="AP40">
        <v>2.8503749999999606E-3</v>
      </c>
    </row>
    <row r="41" spans="1:42" x14ac:dyDescent="0.2">
      <c r="A41">
        <v>-0.41636099999999998</v>
      </c>
      <c r="B41">
        <v>3.8225000000008391E-4</v>
      </c>
      <c r="C41" s="14">
        <v>20.417795189088668</v>
      </c>
      <c r="D41" s="14">
        <v>21.32157689414246</v>
      </c>
      <c r="E41" s="14">
        <v>21.56666055485741</v>
      </c>
      <c r="F41" s="14">
        <v>11.487228687472907</v>
      </c>
      <c r="G41" s="14">
        <v>12.098014167981889</v>
      </c>
      <c r="H41" s="14">
        <v>12.42494427042025</v>
      </c>
      <c r="I41" s="14">
        <v>6.0624990937407652</v>
      </c>
      <c r="J41" s="14">
        <v>6.1056991077114073</v>
      </c>
      <c r="K41" s="14">
        <v>6.0896514374896142</v>
      </c>
      <c r="L41" s="14">
        <v>3.6285569423074926</v>
      </c>
      <c r="M41" s="14">
        <v>3.3878489687429023</v>
      </c>
      <c r="N41" s="14">
        <v>3.3778585364583282</v>
      </c>
      <c r="O41" s="14">
        <v>2.2142870649999842</v>
      </c>
      <c r="P41" s="14">
        <v>2.6757888928527653</v>
      </c>
      <c r="Q41" s="14">
        <v>2.3555017321393348</v>
      </c>
      <c r="R41" s="14">
        <v>2.0450552619650253</v>
      </c>
      <c r="S41" s="14">
        <v>2.0607799134614431</v>
      </c>
      <c r="T41" s="14">
        <v>1.6658669827445656</v>
      </c>
      <c r="U41" s="14">
        <v>1.0587663862499941</v>
      </c>
      <c r="V41" s="14">
        <v>1.1401145149999934</v>
      </c>
      <c r="W41" s="14">
        <v>1.2578043942307109</v>
      </c>
      <c r="X41" s="14">
        <v>0.49599263043477892</v>
      </c>
      <c r="Y41" s="14">
        <v>0.51956715624999683</v>
      </c>
      <c r="Z41" s="14">
        <v>0.18224024404761641</v>
      </c>
      <c r="AA41" s="14">
        <v>0.18138662499999758</v>
      </c>
      <c r="AB41" s="14">
        <v>0.18225309999999706</v>
      </c>
      <c r="AC41" s="14">
        <v>8.211343382352787E-2</v>
      </c>
      <c r="AD41" s="14">
        <v>8.2273494047616191E-2</v>
      </c>
      <c r="AE41" s="14">
        <v>9.2255401785712898E-2</v>
      </c>
      <c r="AF41">
        <v>7.7747916666658368E-3</v>
      </c>
      <c r="AG41">
        <v>1.1132437499999148E-2</v>
      </c>
      <c r="AH41">
        <v>1.039166666666369E-3</v>
      </c>
      <c r="AI41">
        <v>5.1607794117642936E-3</v>
      </c>
      <c r="AJ41">
        <v>6.6086607142834541E-4</v>
      </c>
      <c r="AK41">
        <v>1.3729653633085537E-3</v>
      </c>
      <c r="AL41">
        <v>0</v>
      </c>
      <c r="AM41">
        <v>2.2161071428568047E-3</v>
      </c>
      <c r="AN41">
        <v>0</v>
      </c>
      <c r="AO41">
        <v>0</v>
      </c>
      <c r="AP41">
        <v>5.4891249999999836E-3</v>
      </c>
    </row>
    <row r="42" spans="1:42" x14ac:dyDescent="0.2">
      <c r="A42">
        <v>-0.411526</v>
      </c>
      <c r="B42">
        <v>1.2576482084690754E-3</v>
      </c>
      <c r="C42" s="14">
        <v>23.64476525985831</v>
      </c>
      <c r="D42" s="14">
        <v>24.660859988234176</v>
      </c>
      <c r="E42" s="14">
        <v>25.098356197921476</v>
      </c>
      <c r="F42" s="14">
        <v>13.375386490824082</v>
      </c>
      <c r="G42" s="14">
        <v>14.080224181797579</v>
      </c>
      <c r="H42" s="14">
        <v>14.61383505682403</v>
      </c>
      <c r="I42" s="14">
        <v>7.1618240119856766</v>
      </c>
      <c r="J42" s="14">
        <v>7.1696675502568707</v>
      </c>
      <c r="K42" s="14">
        <v>7.1782039253033396</v>
      </c>
      <c r="L42" s="14">
        <v>4.3257984095005337</v>
      </c>
      <c r="M42" s="14">
        <v>4.0523380384121408</v>
      </c>
      <c r="N42" s="14">
        <v>4.0590246955549905</v>
      </c>
      <c r="O42" s="14">
        <v>2.6568162101742248</v>
      </c>
      <c r="P42" s="14">
        <v>3.0830607319526999</v>
      </c>
      <c r="Q42" s="14">
        <v>2.7828814758359464</v>
      </c>
      <c r="R42" s="14">
        <v>2.372795767878483</v>
      </c>
      <c r="S42" s="14">
        <v>2.3938256968475695</v>
      </c>
      <c r="T42" s="14">
        <v>1.9707517381305768</v>
      </c>
      <c r="U42" s="14">
        <v>1.2788154805591685</v>
      </c>
      <c r="V42" s="14">
        <v>1.3281495737748754</v>
      </c>
      <c r="W42" s="14">
        <v>1.4089476920809316</v>
      </c>
      <c r="X42" s="14">
        <v>0.59821913160260642</v>
      </c>
      <c r="Y42" s="14">
        <v>0.61603178166201011</v>
      </c>
      <c r="Z42" s="14">
        <v>0.20920631124603017</v>
      </c>
      <c r="AA42" s="14">
        <v>0.21717431505609586</v>
      </c>
      <c r="AB42" s="14">
        <v>0.20965743623907451</v>
      </c>
      <c r="AC42" s="14">
        <v>0.10010456703528159</v>
      </c>
      <c r="AD42" s="14">
        <v>0.1075073101799503</v>
      </c>
      <c r="AE42" s="14">
        <v>0.1026337590795261</v>
      </c>
      <c r="AF42">
        <v>1.2495792530547334E-2</v>
      </c>
      <c r="AG42">
        <v>9.6724871387197098E-3</v>
      </c>
      <c r="AH42">
        <v>3.2635423079347969E-3</v>
      </c>
      <c r="AI42">
        <v>6.1656320313074886E-4</v>
      </c>
      <c r="AJ42">
        <v>5.074716398176693E-3</v>
      </c>
      <c r="AK42">
        <v>3.4538714905019141E-3</v>
      </c>
      <c r="AL42">
        <v>2.7339537769510702E-4</v>
      </c>
      <c r="AM42">
        <v>2.6636097520436053E-3</v>
      </c>
      <c r="AN42">
        <v>5.4684572324766867E-3</v>
      </c>
      <c r="AO42">
        <v>1.1577535438532793E-3</v>
      </c>
      <c r="AP42">
        <v>0</v>
      </c>
    </row>
    <row r="43" spans="1:42" x14ac:dyDescent="0.2">
      <c r="A43">
        <v>-0.40669099999999997</v>
      </c>
      <c r="B43">
        <v>2.8979446254072116E-3</v>
      </c>
      <c r="C43" s="14">
        <v>27.139487104794128</v>
      </c>
      <c r="D43" s="14">
        <v>27.749892848446557</v>
      </c>
      <c r="E43" s="14">
        <v>28.110303609323534</v>
      </c>
      <c r="F43" s="14">
        <v>15.384293115384638</v>
      </c>
      <c r="G43" s="14">
        <v>16.270681028399402</v>
      </c>
      <c r="H43" s="14">
        <v>17.091471671315457</v>
      </c>
      <c r="I43" s="14">
        <v>8.2550237859758617</v>
      </c>
      <c r="J43" s="14">
        <v>8.2406358577635022</v>
      </c>
      <c r="K43" s="14">
        <v>8.2816292759311985</v>
      </c>
      <c r="L43" s="14">
        <v>4.9797267669635481</v>
      </c>
      <c r="M43" s="14">
        <v>4.7321390081080388</v>
      </c>
      <c r="N43" s="14">
        <v>4.7362537533316482</v>
      </c>
      <c r="O43" s="14">
        <v>3.0796582705227067</v>
      </c>
      <c r="P43" s="14">
        <v>3.5034564815813551</v>
      </c>
      <c r="Q43" s="14">
        <v>3.2010741418007704</v>
      </c>
      <c r="R43" s="14">
        <v>2.5699432062942917</v>
      </c>
      <c r="S43" s="14">
        <v>2.6196833982352117</v>
      </c>
      <c r="T43" s="14">
        <v>2.2655744213169617</v>
      </c>
      <c r="U43" s="14">
        <v>1.501708501677518</v>
      </c>
      <c r="V43" s="14">
        <v>1.4726535613246399</v>
      </c>
      <c r="W43" s="14">
        <v>1.5329649223967592</v>
      </c>
      <c r="X43" s="14">
        <v>0.69060256872087056</v>
      </c>
      <c r="Y43" s="14">
        <v>0.68887034498603661</v>
      </c>
      <c r="Z43" s="14">
        <v>0.23748431469047682</v>
      </c>
      <c r="AA43" s="14">
        <v>0.24311694516829263</v>
      </c>
      <c r="AB43" s="14">
        <v>0.23684170871722965</v>
      </c>
      <c r="AC43" s="14">
        <v>0.11219064228231845</v>
      </c>
      <c r="AD43" s="14">
        <v>0.11524107339699952</v>
      </c>
      <c r="AE43" s="14">
        <v>0.11673206295286698</v>
      </c>
      <c r="AF43">
        <v>2.0935710924976925E-2</v>
      </c>
      <c r="AG43">
        <v>2.4072461416161151E-2</v>
      </c>
      <c r="AH43">
        <v>1.9486849146027385E-2</v>
      </c>
      <c r="AI43">
        <v>4.9322778446875271E-3</v>
      </c>
      <c r="AJ43">
        <v>1.9415063373877661E-3</v>
      </c>
      <c r="AK43">
        <v>1.2973706836016063E-2</v>
      </c>
      <c r="AL43">
        <v>1.2571861330852308E-3</v>
      </c>
      <c r="AM43">
        <v>6.2005435418460708E-3</v>
      </c>
      <c r="AN43">
        <v>0</v>
      </c>
      <c r="AO43">
        <v>7.3826063155979504E-4</v>
      </c>
      <c r="AP43">
        <v>0</v>
      </c>
    </row>
    <row r="44" spans="1:42" x14ac:dyDescent="0.2">
      <c r="A44">
        <v>-0.40185499999999996</v>
      </c>
      <c r="B44">
        <v>0</v>
      </c>
      <c r="C44" s="14">
        <v>30.039212756539591</v>
      </c>
      <c r="D44" s="14">
        <v>29.841431579789077</v>
      </c>
      <c r="E44" s="14">
        <v>29.960258874191474</v>
      </c>
      <c r="F44" s="14">
        <v>17.538451170270946</v>
      </c>
      <c r="G44" s="14">
        <v>18.60814021271549</v>
      </c>
      <c r="H44" s="14">
        <v>19.469362661116186</v>
      </c>
      <c r="I44" s="14">
        <v>9.2747267140041281</v>
      </c>
      <c r="J44" s="14">
        <v>9.2739812455820747</v>
      </c>
      <c r="K44" s="14">
        <v>9.3343077240462975</v>
      </c>
      <c r="L44" s="14">
        <v>5.4739700022667837</v>
      </c>
      <c r="M44" s="14">
        <v>5.2876917775908678</v>
      </c>
      <c r="N44" s="14">
        <v>5.265608621668342</v>
      </c>
      <c r="O44" s="14">
        <v>3.4535010094772591</v>
      </c>
      <c r="P44" s="14">
        <v>3.8289169469803728</v>
      </c>
      <c r="Q44" s="14">
        <v>3.5422674296199954</v>
      </c>
      <c r="R44" s="14">
        <v>2.7174352008584872</v>
      </c>
      <c r="S44" s="14">
        <v>2.8162297556107321</v>
      </c>
      <c r="T44" s="14">
        <v>2.436367682100741</v>
      </c>
      <c r="U44" s="14">
        <v>1.6707891083224684</v>
      </c>
      <c r="V44" s="14">
        <v>1.5996591186753457</v>
      </c>
      <c r="W44" s="14">
        <v>1.6125776929877307</v>
      </c>
      <c r="X44" s="14">
        <v>0.75476751823564314</v>
      </c>
      <c r="Y44" s="14">
        <v>0.73195940501395662</v>
      </c>
      <c r="Z44" s="14">
        <v>0.26270082816665985</v>
      </c>
      <c r="AA44" s="14">
        <v>0.25637405483170184</v>
      </c>
      <c r="AB44" s="14">
        <v>0.26052749128276387</v>
      </c>
      <c r="AC44" s="14">
        <v>0.11749618124708983</v>
      </c>
      <c r="AD44" s="14">
        <v>0.12625725993632742</v>
      </c>
      <c r="AE44" s="14">
        <v>0.11814179418998716</v>
      </c>
      <c r="AF44">
        <v>3.2657289075020746E-2</v>
      </c>
      <c r="AG44">
        <v>3.5191038583835765E-2</v>
      </c>
      <c r="AH44">
        <v>2.0617706409526093E-2</v>
      </c>
      <c r="AI44">
        <v>1.3951545684722344E-2</v>
      </c>
      <c r="AJ44">
        <v>9.4177793768965845E-3</v>
      </c>
      <c r="AK44">
        <v>5.430108601654271E-3</v>
      </c>
      <c r="AL44">
        <v>0</v>
      </c>
      <c r="AM44">
        <v>3.0385278867237631E-3</v>
      </c>
      <c r="AN44">
        <v>8.2140305287570214E-4</v>
      </c>
      <c r="AO44">
        <v>1.63215603510658E-3</v>
      </c>
      <c r="AP44">
        <v>0</v>
      </c>
    </row>
    <row r="45" spans="1:42" x14ac:dyDescent="0.2">
      <c r="A45">
        <v>-0.39701999999999998</v>
      </c>
      <c r="B45">
        <v>0</v>
      </c>
      <c r="C45" s="14">
        <v>31.818936601508373</v>
      </c>
      <c r="D45" s="14">
        <v>31.0824764400238</v>
      </c>
      <c r="E45" s="14">
        <v>31.281714285633292</v>
      </c>
      <c r="F45" s="14">
        <v>19.636606794831685</v>
      </c>
      <c r="G45" s="14">
        <v>20.637598059318087</v>
      </c>
      <c r="H45" s="14">
        <v>21.079006275610091</v>
      </c>
      <c r="I45" s="14">
        <v>10.150051487994377</v>
      </c>
      <c r="J45" s="14">
        <v>10.151575553089007</v>
      </c>
      <c r="K45" s="14">
        <v>10.257485074674227</v>
      </c>
      <c r="L45" s="14">
        <v>5.8702123597297993</v>
      </c>
      <c r="M45" s="14">
        <v>5.7614317472868146</v>
      </c>
      <c r="N45" s="14">
        <v>5.6869006794449994</v>
      </c>
      <c r="O45" s="14">
        <v>3.7608430698257407</v>
      </c>
      <c r="P45" s="14">
        <v>4.0537516966090585</v>
      </c>
      <c r="Q45" s="14">
        <v>3.816522095584844</v>
      </c>
      <c r="R45" s="14">
        <v>2.7647396432193059</v>
      </c>
      <c r="S45" s="14">
        <v>2.920463456998375</v>
      </c>
      <c r="T45" s="14">
        <v>2.5664723652872157</v>
      </c>
      <c r="U45" s="14">
        <v>1.7624321294408183</v>
      </c>
      <c r="V45" s="14">
        <v>1.66169510622511</v>
      </c>
      <c r="W45" s="14">
        <v>1.6239399233035587</v>
      </c>
      <c r="X45" s="14">
        <v>0.78196395535390717</v>
      </c>
      <c r="Y45" s="14">
        <v>0.74136096833798315</v>
      </c>
      <c r="Z45" s="14">
        <v>0.27129183161110659</v>
      </c>
      <c r="AA45" s="14">
        <v>0.26591168494389861</v>
      </c>
      <c r="AB45" s="14">
        <v>0.26430676376091899</v>
      </c>
      <c r="AC45" s="14">
        <v>0.12411325649412663</v>
      </c>
      <c r="AD45" s="14">
        <v>0.13224202315337674</v>
      </c>
      <c r="AE45" s="14">
        <v>0.11856784806332799</v>
      </c>
      <c r="AF45">
        <v>3.584720746945036E-2</v>
      </c>
      <c r="AG45">
        <v>4.2918012861277277E-2</v>
      </c>
      <c r="AH45">
        <v>3.5310013247618843E-2</v>
      </c>
      <c r="AI45">
        <v>1.7610260326279104E-2</v>
      </c>
      <c r="AJ45">
        <v>1.7550569316107767E-2</v>
      </c>
      <c r="AK45">
        <v>1.3417944280482819E-2</v>
      </c>
      <c r="AL45">
        <v>2.638224346379614E-3</v>
      </c>
      <c r="AM45">
        <v>3.2119616765262649E-3</v>
      </c>
      <c r="AN45">
        <v>2.2465526643952183E-3</v>
      </c>
      <c r="AO45">
        <v>3.700663122813086E-3</v>
      </c>
      <c r="AP45">
        <v>3.9206347784496165E-3</v>
      </c>
    </row>
    <row r="46" spans="1:42" x14ac:dyDescent="0.2">
      <c r="A46">
        <v>-0.39218500000000001</v>
      </c>
      <c r="B46">
        <v>0</v>
      </c>
      <c r="C46" s="14">
        <v>32.87417067234378</v>
      </c>
      <c r="D46" s="14">
        <v>32.264015534160109</v>
      </c>
      <c r="E46" s="14">
        <v>32.522669928776686</v>
      </c>
      <c r="F46" s="14">
        <v>21.061016598183226</v>
      </c>
      <c r="G46" s="14">
        <v>21.960062073135326</v>
      </c>
      <c r="H46" s="14">
        <v>22.240652062018807</v>
      </c>
      <c r="I46" s="14">
        <v>10.860877406239414</v>
      </c>
      <c r="J46" s="14">
        <v>10.865544995635073</v>
      </c>
      <c r="K46" s="14">
        <v>10.959288562488094</v>
      </c>
      <c r="L46" s="14">
        <v>6.100205826922843</v>
      </c>
      <c r="M46" s="14">
        <v>6.0619228169561499</v>
      </c>
      <c r="N46" s="14">
        <v>5.9288188385416607</v>
      </c>
      <c r="O46" s="14">
        <v>3.9566232149999814</v>
      </c>
      <c r="P46" s="14">
        <v>4.1350865357090534</v>
      </c>
      <c r="Q46" s="14">
        <v>3.9726538392815041</v>
      </c>
      <c r="R46" s="14">
        <v>2.7175441570149843</v>
      </c>
      <c r="S46" s="14">
        <v>2.9280102403845034</v>
      </c>
      <c r="T46" s="14">
        <v>2.5543901206734061</v>
      </c>
      <c r="U46" s="14">
        <v>1.7880132237499926</v>
      </c>
      <c r="V46" s="14">
        <v>1.6574501649999922</v>
      </c>
      <c r="W46" s="14">
        <v>1.5488962211537807</v>
      </c>
      <c r="X46" s="14">
        <v>0.78509745652173479</v>
      </c>
      <c r="Y46" s="14">
        <v>0.72385659374999645</v>
      </c>
      <c r="Z46" s="14">
        <v>0.27660189880952035</v>
      </c>
      <c r="AA46" s="14">
        <v>0.26123037499999691</v>
      </c>
      <c r="AB46" s="14">
        <v>0.26414709999999653</v>
      </c>
      <c r="AC46" s="14">
        <v>0.12635538970588034</v>
      </c>
      <c r="AD46" s="14">
        <v>0.13100683928571089</v>
      </c>
      <c r="AE46" s="14">
        <v>0.12096245535714134</v>
      </c>
      <c r="AF46">
        <v>5.7631208333331796E-2</v>
      </c>
      <c r="AG46">
        <v>6.2021062499997948E-2</v>
      </c>
      <c r="AH46">
        <v>4.6502388888887247E-2</v>
      </c>
      <c r="AI46">
        <v>2.0176044117645509E-2</v>
      </c>
      <c r="AJ46">
        <v>2.1855419642856089E-2</v>
      </c>
      <c r="AK46">
        <v>2.0093850990185458E-2</v>
      </c>
      <c r="AL46">
        <v>8.1165104166662783E-3</v>
      </c>
      <c r="AM46">
        <v>7.6964285713021496E-5</v>
      </c>
      <c r="AN46">
        <v>0</v>
      </c>
      <c r="AO46">
        <v>3.5272187499996166E-3</v>
      </c>
      <c r="AP46">
        <v>5.7871874999996242E-3</v>
      </c>
    </row>
    <row r="47" spans="1:42" x14ac:dyDescent="0.2">
      <c r="A47">
        <v>-0.38734999999999997</v>
      </c>
      <c r="B47">
        <v>2.3926250000000371E-3</v>
      </c>
      <c r="C47" s="14">
        <v>33.848902969045817</v>
      </c>
      <c r="D47" s="14">
        <v>33.424556862197981</v>
      </c>
      <c r="E47" s="14">
        <v>33.599127803621663</v>
      </c>
      <c r="F47" s="14">
        <v>21.862428580325577</v>
      </c>
      <c r="G47" s="14">
        <v>22.82402425416721</v>
      </c>
      <c r="H47" s="14">
        <v>22.985798020342337</v>
      </c>
      <c r="I47" s="14">
        <v>11.267206468739239</v>
      </c>
      <c r="J47" s="14">
        <v>11.264517573220271</v>
      </c>
      <c r="K47" s="14">
        <v>11.325094187487899</v>
      </c>
      <c r="L47" s="14">
        <v>6.1709504038459153</v>
      </c>
      <c r="M47" s="14">
        <v>6.1699139865988739</v>
      </c>
      <c r="N47" s="14">
        <v>5.9904880989583278</v>
      </c>
      <c r="O47" s="14">
        <v>3.9975294449999814</v>
      </c>
      <c r="P47" s="14">
        <v>4.0698614642803594</v>
      </c>
      <c r="Q47" s="14">
        <v>4.0093476607099765</v>
      </c>
      <c r="R47" s="14">
        <v>2.5710367422455214</v>
      </c>
      <c r="S47" s="14">
        <v>2.8095581057691166</v>
      </c>
      <c r="T47" s="14">
        <v>2.4373079482593125</v>
      </c>
      <c r="U47" s="14">
        <v>1.7567193912499925</v>
      </c>
      <c r="V47" s="14">
        <v>1.5604552949999917</v>
      </c>
      <c r="W47" s="14">
        <v>1.4222275865383951</v>
      </c>
      <c r="X47" s="14">
        <v>0.76154402173912616</v>
      </c>
      <c r="Y47" s="14">
        <v>0.70000828124999637</v>
      </c>
      <c r="Z47" s="14">
        <v>0.26703702976190125</v>
      </c>
      <c r="AA47" s="14">
        <v>0.25326712499999682</v>
      </c>
      <c r="AB47" s="14">
        <v>0.25720749999999648</v>
      </c>
      <c r="AC47" s="14">
        <v>0.12203458088235097</v>
      </c>
      <c r="AD47" s="14">
        <v>0.12605370833332996</v>
      </c>
      <c r="AE47" s="14">
        <v>0.11843486607142706</v>
      </c>
      <c r="AF47">
        <v>7.3727291666665029E-2</v>
      </c>
      <c r="AG47">
        <v>8.0248187499997736E-2</v>
      </c>
      <c r="AH47">
        <v>6.1851833333331552E-2</v>
      </c>
      <c r="AI47">
        <v>3.214689705882201E-2</v>
      </c>
      <c r="AJ47">
        <v>2.9332330357141667E-2</v>
      </c>
      <c r="AK47">
        <v>3.7487828730762396E-2</v>
      </c>
      <c r="AL47">
        <v>1.4688364583332891E-2</v>
      </c>
      <c r="AM47">
        <v>5.9110357142844183E-3</v>
      </c>
      <c r="AN47">
        <v>4.22009807277135E-3</v>
      </c>
      <c r="AO47">
        <v>8.9048229166662218E-3</v>
      </c>
      <c r="AP47">
        <v>9.8950624999994963E-3</v>
      </c>
    </row>
    <row r="48" spans="1:42" x14ac:dyDescent="0.2">
      <c r="A48">
        <v>-0.38251499999999999</v>
      </c>
      <c r="B48">
        <v>0</v>
      </c>
      <c r="C48" s="14">
        <v>34.645135039917022</v>
      </c>
      <c r="D48" s="14">
        <v>34.158099956358107</v>
      </c>
      <c r="E48" s="14">
        <v>34.000089446807465</v>
      </c>
      <c r="F48" s="14">
        <v>22.348842383677319</v>
      </c>
      <c r="G48" s="14">
        <v>23.124492267985282</v>
      </c>
      <c r="H48" s="14">
        <v>22.880447806753718</v>
      </c>
      <c r="I48" s="14">
        <v>11.157286386984346</v>
      </c>
      <c r="J48" s="14">
        <v>11.147242015766658</v>
      </c>
      <c r="K48" s="14">
        <v>11.141400675301842</v>
      </c>
      <c r="L48" s="14">
        <v>5.9485708710389611</v>
      </c>
      <c r="M48" s="14">
        <v>6.0084070562682603</v>
      </c>
      <c r="N48" s="14">
        <v>5.7852832580549904</v>
      </c>
      <c r="O48" s="14">
        <v>3.8214365901742222</v>
      </c>
      <c r="P48" s="14">
        <v>3.7661983033803876</v>
      </c>
      <c r="Q48" s="14">
        <v>3.846980404406664</v>
      </c>
      <c r="R48" s="14">
        <v>2.3164672605479386</v>
      </c>
      <c r="S48" s="14">
        <v>2.5659808891552456</v>
      </c>
      <c r="T48" s="14">
        <v>2.2191647036455993</v>
      </c>
      <c r="U48" s="14">
        <v>1.660894485559167</v>
      </c>
      <c r="V48" s="14">
        <v>1.4140233537748741</v>
      </c>
      <c r="W48" s="14">
        <v>1.264934884388617</v>
      </c>
      <c r="X48" s="14">
        <v>0.72224052290695373</v>
      </c>
      <c r="Y48" s="14">
        <v>0.64772290666200971</v>
      </c>
      <c r="Z48" s="14">
        <v>0.25003409696031509</v>
      </c>
      <c r="AA48" s="14">
        <v>0.24246081505609529</v>
      </c>
      <c r="AB48" s="14">
        <v>0.23539283623907403</v>
      </c>
      <c r="AC48" s="14">
        <v>0.11858971409410468</v>
      </c>
      <c r="AD48" s="14">
        <v>0.1141005244656641</v>
      </c>
      <c r="AE48" s="14">
        <v>0.10693922336524042</v>
      </c>
      <c r="AF48">
        <v>0.10010529253054645</v>
      </c>
      <c r="AG48">
        <v>9.0382237138718513E-2</v>
      </c>
      <c r="AH48">
        <v>7.6325208974599934E-2</v>
      </c>
      <c r="AI48">
        <v>4.5759680850188555E-2</v>
      </c>
      <c r="AJ48">
        <v>4.2496180683889939E-2</v>
      </c>
      <c r="AK48">
        <v>3.8256736020114368E-2</v>
      </c>
      <c r="AL48">
        <v>1.7103400653619372E-2</v>
      </c>
      <c r="AM48">
        <v>1.0651038323471251E-2</v>
      </c>
      <c r="AN48">
        <v>1.1331329884567087E-2</v>
      </c>
      <c r="AO48">
        <v>1.4610378543852831E-2</v>
      </c>
      <c r="AP48">
        <v>8.9718652215494687E-3</v>
      </c>
    </row>
    <row r="49" spans="1:42" x14ac:dyDescent="0.2">
      <c r="A49">
        <v>-0.37767999999999996</v>
      </c>
      <c r="B49">
        <v>0</v>
      </c>
      <c r="C49" s="14">
        <v>34.895370884957394</v>
      </c>
      <c r="D49" s="14">
        <v>34.023646816640493</v>
      </c>
      <c r="E49" s="14">
        <v>33.410550858334084</v>
      </c>
      <c r="F49" s="14">
        <v>22.033758008238454</v>
      </c>
      <c r="G49" s="14">
        <v>22.738962114589544</v>
      </c>
      <c r="H49" s="14">
        <v>21.819601421252951</v>
      </c>
      <c r="I49" s="14">
        <v>10.557370160974726</v>
      </c>
      <c r="J49" s="14">
        <v>10.455967323274237</v>
      </c>
      <c r="K49" s="14">
        <v>10.460710025929922</v>
      </c>
      <c r="L49" s="14">
        <v>5.3971922285019804</v>
      </c>
      <c r="M49" s="14">
        <v>5.5485250259643095</v>
      </c>
      <c r="N49" s="14">
        <v>5.286079315831647</v>
      </c>
      <c r="O49" s="14">
        <v>3.4567816505227045</v>
      </c>
      <c r="P49" s="14">
        <v>3.2940990530091399</v>
      </c>
      <c r="Q49" s="14">
        <v>3.4759260703715662</v>
      </c>
      <c r="R49" s="14">
        <v>2.005898711922236</v>
      </c>
      <c r="S49" s="14">
        <v>2.2379665905428903</v>
      </c>
      <c r="T49" s="14">
        <v>1.9380213868322658</v>
      </c>
      <c r="U49" s="14">
        <v>1.494851506677517</v>
      </c>
      <c r="V49" s="14">
        <v>1.2273423413246389</v>
      </c>
      <c r="W49" s="14">
        <v>1.0958291147044465</v>
      </c>
      <c r="X49" s="14">
        <v>0.64793696002521795</v>
      </c>
      <c r="Y49" s="14">
        <v>0.57224946998603654</v>
      </c>
      <c r="Z49" s="14">
        <v>0.22231310040476182</v>
      </c>
      <c r="AA49" s="14">
        <v>0.21524844516829211</v>
      </c>
      <c r="AB49" s="14">
        <v>0.21401510871722929</v>
      </c>
      <c r="AC49" s="14">
        <v>0.10289378934114157</v>
      </c>
      <c r="AD49" s="14">
        <v>0.10542928768271354</v>
      </c>
      <c r="AE49" s="14">
        <v>9.8067527238581365E-2</v>
      </c>
      <c r="AF49">
        <v>0.11991921092497615</v>
      </c>
      <c r="AG49">
        <v>0.10729721141616</v>
      </c>
      <c r="AH49">
        <v>0.10064251581269279</v>
      </c>
      <c r="AI49">
        <v>5.3793395491745444E-2</v>
      </c>
      <c r="AJ49">
        <v>4.7565970623101195E-2</v>
      </c>
      <c r="AK49">
        <v>5.4557572858241699E-2</v>
      </c>
      <c r="AL49">
        <v>1.4924368627526219E-2</v>
      </c>
      <c r="AM49">
        <v>6.8599721132737157E-3</v>
      </c>
      <c r="AN49">
        <v>1.4724479773081112E-2</v>
      </c>
      <c r="AO49">
        <v>1.4409885631559427E-2</v>
      </c>
      <c r="AP49">
        <v>1.8767595664649472E-2</v>
      </c>
    </row>
    <row r="50" spans="1:42" x14ac:dyDescent="0.2">
      <c r="A50">
        <v>-0.37284400000000001</v>
      </c>
      <c r="B50">
        <v>1.7365340468434853E-3</v>
      </c>
      <c r="C50" s="14">
        <v>34.225112536809931</v>
      </c>
      <c r="D50" s="14">
        <v>32.986203548054291</v>
      </c>
      <c r="E50" s="14">
        <v>32.061520123328847</v>
      </c>
      <c r="F50" s="14">
        <v>20.864683063125348</v>
      </c>
      <c r="G50" s="14">
        <v>21.597437298908122</v>
      </c>
      <c r="H50" s="14">
        <v>20.153260411061648</v>
      </c>
      <c r="I50" s="14">
        <v>9.4657050890031957</v>
      </c>
      <c r="J50" s="14">
        <v>9.2834477110937765</v>
      </c>
      <c r="K50" s="14">
        <v>9.2777734740452473</v>
      </c>
      <c r="L50" s="14">
        <v>4.6165664638052197</v>
      </c>
      <c r="M50" s="14">
        <v>4.8366467954472938</v>
      </c>
      <c r="N50" s="14">
        <v>4.5480021841683413</v>
      </c>
      <c r="O50" s="14">
        <v>2.9700653894772575</v>
      </c>
      <c r="P50" s="14">
        <v>2.7253125184082574</v>
      </c>
      <c r="Q50" s="14">
        <v>2.9884973581908705</v>
      </c>
      <c r="R50" s="14">
        <v>1.6830797199909187</v>
      </c>
      <c r="S50" s="14">
        <v>1.8920149479184127</v>
      </c>
      <c r="T50" s="14">
        <v>1.6476906476163327</v>
      </c>
      <c r="U50" s="14">
        <v>1.2946841133224676</v>
      </c>
      <c r="V50" s="14">
        <v>1.0555358986753447</v>
      </c>
      <c r="W50" s="14">
        <v>0.92847388529541908</v>
      </c>
      <c r="X50" s="14">
        <v>0.56903990953999062</v>
      </c>
      <c r="Y50" s="14">
        <v>0.49655853001395645</v>
      </c>
      <c r="Z50" s="14">
        <v>0.2018106138809449</v>
      </c>
      <c r="AA50" s="14">
        <v>0.18103655483170134</v>
      </c>
      <c r="AB50" s="14">
        <v>0.1950448912827637</v>
      </c>
      <c r="AC50" s="14">
        <v>8.30433283059131E-2</v>
      </c>
      <c r="AD50" s="14">
        <v>9.6757474222041617E-2</v>
      </c>
      <c r="AE50" s="14">
        <v>8.3728258475701645E-2</v>
      </c>
      <c r="AF50">
        <v>0.12223578907502008</v>
      </c>
      <c r="AG50">
        <v>0.11874378858383483</v>
      </c>
      <c r="AH50">
        <v>0.11621037307619164</v>
      </c>
      <c r="AI50">
        <v>5.8437663331780243E-2</v>
      </c>
      <c r="AJ50">
        <v>5.6574243662610102E-2</v>
      </c>
      <c r="AK50">
        <v>6.3638976360362642E-2</v>
      </c>
      <c r="AL50">
        <v>1.580888137247205E-2</v>
      </c>
      <c r="AM50">
        <v>1.2694456458151593E-2</v>
      </c>
      <c r="AN50">
        <v>2.0742286362967155E-2</v>
      </c>
      <c r="AO50">
        <v>1.6889531035106153E-2</v>
      </c>
      <c r="AP50">
        <v>1.5110904335348896E-2</v>
      </c>
    </row>
    <row r="51" spans="1:42" x14ac:dyDescent="0.2">
      <c r="A51">
        <v>-0.36800899999999998</v>
      </c>
      <c r="B51">
        <v>1.8181780156145133E-3</v>
      </c>
      <c r="C51" s="14">
        <v>32.65535238188825</v>
      </c>
      <c r="D51" s="14">
        <v>31.539254408361529</v>
      </c>
      <c r="E51" s="14">
        <v>30.593491534899691</v>
      </c>
      <c r="F51" s="14">
        <v>18.93610468768669</v>
      </c>
      <c r="G51" s="14">
        <v>19.752413145513252</v>
      </c>
      <c r="H51" s="14">
        <v>18.077420025563679</v>
      </c>
      <c r="I51" s="14">
        <v>7.8385428629936484</v>
      </c>
      <c r="J51" s="14">
        <v>7.6961780186016906</v>
      </c>
      <c r="K51" s="14">
        <v>7.6065858246734059</v>
      </c>
      <c r="L51" s="14">
        <v>3.7186898212682418</v>
      </c>
      <c r="M51" s="14">
        <v>3.9698927651433973</v>
      </c>
      <c r="N51" s="14">
        <v>3.6918002419449989</v>
      </c>
      <c r="O51" s="14">
        <v>2.4317234498257396</v>
      </c>
      <c r="P51" s="14">
        <v>2.1775252680370452</v>
      </c>
      <c r="Q51" s="14">
        <v>2.4721940241558018</v>
      </c>
      <c r="R51" s="14">
        <v>1.3983231763966384</v>
      </c>
      <c r="S51" s="14">
        <v>1.5552506493060587</v>
      </c>
      <c r="T51" s="14">
        <v>1.3748593308031001</v>
      </c>
      <c r="U51" s="14">
        <v>1.0921101344408171</v>
      </c>
      <c r="V51" s="14">
        <v>0.87651088622510931</v>
      </c>
      <c r="W51" s="14">
        <v>0.77183711561124901</v>
      </c>
      <c r="X51" s="14">
        <v>0.49014334665825476</v>
      </c>
      <c r="Y51" s="14">
        <v>0.42502209333798324</v>
      </c>
      <c r="Z51" s="14">
        <v>0.17277661732539173</v>
      </c>
      <c r="AA51" s="14">
        <v>0.17044918494389827</v>
      </c>
      <c r="AB51" s="14">
        <v>0.16535516376091886</v>
      </c>
      <c r="AC51" s="14">
        <v>7.0191403552950171E-2</v>
      </c>
      <c r="AD51" s="14">
        <v>7.9554237439090958E-2</v>
      </c>
      <c r="AE51" s="14">
        <v>7.2013562349042548E-2</v>
      </c>
      <c r="AF51">
        <v>0.1287067074694499</v>
      </c>
      <c r="AG51">
        <v>0.12811176286127635</v>
      </c>
      <c r="AH51">
        <v>0.1302466799142844</v>
      </c>
      <c r="AI51">
        <v>6.4721377973337102E-2</v>
      </c>
      <c r="AJ51">
        <v>6.0988033601821368E-2</v>
      </c>
      <c r="AK51">
        <v>7.0095814018825364E-2</v>
      </c>
      <c r="AL51">
        <v>1.6911849346378904E-2</v>
      </c>
      <c r="AM51">
        <v>1.6778390247954134E-2</v>
      </c>
      <c r="AN51">
        <v>1.9323436665561244E-2</v>
      </c>
      <c r="AO51">
        <v>1.8056288122812736E-2</v>
      </c>
      <c r="AP51">
        <v>1.8781634778448963E-2</v>
      </c>
    </row>
    <row r="52" spans="1:42" x14ac:dyDescent="0.2">
      <c r="A52">
        <v>-0.363174</v>
      </c>
      <c r="B52">
        <v>0</v>
      </c>
      <c r="C52" s="14">
        <v>30.623598452835168</v>
      </c>
      <c r="D52" s="14">
        <v>30.043311502571253</v>
      </c>
      <c r="E52" s="14">
        <v>28.953959178173733</v>
      </c>
      <c r="F52" s="14">
        <v>16.444032491038836</v>
      </c>
      <c r="G52" s="14">
        <v>17.368391159333054</v>
      </c>
      <c r="H52" s="14">
        <v>15.501080811980636</v>
      </c>
      <c r="I52" s="14">
        <v>6.01538078123889</v>
      </c>
      <c r="J52" s="14">
        <v>5.921659461148753</v>
      </c>
      <c r="K52" s="14">
        <v>5.8041513124875053</v>
      </c>
      <c r="L52" s="14">
        <v>2.874188288461291</v>
      </c>
      <c r="M52" s="14">
        <v>3.1250138348128904</v>
      </c>
      <c r="N52" s="14">
        <v>2.8767224010416612</v>
      </c>
      <c r="O52" s="14">
        <v>1.9432575949999809</v>
      </c>
      <c r="P52" s="14">
        <v>1.7028011071371441</v>
      </c>
      <c r="Q52" s="14">
        <v>1.9852037678525449</v>
      </c>
      <c r="R52" s="14">
        <v>1.1310667047519516</v>
      </c>
      <c r="S52" s="14">
        <v>1.254799432692189</v>
      </c>
      <c r="T52" s="14">
        <v>1.1383410861895871</v>
      </c>
      <c r="U52" s="14">
        <v>0.90944122874999189</v>
      </c>
      <c r="V52" s="14">
        <v>0.71454794499999175</v>
      </c>
      <c r="W52" s="14">
        <v>0.62482441346147211</v>
      </c>
      <c r="X52" s="14">
        <v>0.4097148478260827</v>
      </c>
      <c r="Y52" s="14">
        <v>0.35283071874999661</v>
      </c>
      <c r="Z52" s="14">
        <v>0.13893068452380564</v>
      </c>
      <c r="AA52" s="14">
        <v>0.13864287499999672</v>
      </c>
      <c r="AB52" s="14">
        <v>0.13544649999999658</v>
      </c>
      <c r="AC52" s="14">
        <v>6.3464536764703872E-2</v>
      </c>
      <c r="AD52" s="14">
        <v>6.0820053571425281E-2</v>
      </c>
      <c r="AE52" s="14">
        <v>5.5923919642856035E-2</v>
      </c>
      <c r="AF52">
        <v>0.12817770833333142</v>
      </c>
      <c r="AG52">
        <v>0.1294958124999972</v>
      </c>
      <c r="AH52">
        <v>0.135971055555553</v>
      </c>
      <c r="AI52">
        <v>6.597416176470372E-2</v>
      </c>
      <c r="AJ52">
        <v>6.0097383928569892E-2</v>
      </c>
      <c r="AK52">
        <v>6.5177722946912819E-2</v>
      </c>
      <c r="AL52">
        <v>1.8014885416665627E-2</v>
      </c>
      <c r="AM52">
        <v>1.4081392857141162E-2</v>
      </c>
      <c r="AN52">
        <v>1.0903669304493713E-2</v>
      </c>
      <c r="AO52">
        <v>2.0480843749999367E-2</v>
      </c>
      <c r="AP52">
        <v>1.389393749999901E-2</v>
      </c>
    </row>
    <row r="53" spans="1:42" x14ac:dyDescent="0.2">
      <c r="A53">
        <v>-0.35833899999999996</v>
      </c>
      <c r="B53">
        <v>0</v>
      </c>
      <c r="C53" s="14">
        <v>28.444844749650684</v>
      </c>
      <c r="D53" s="14">
        <v>28.050366830683458</v>
      </c>
      <c r="E53" s="14">
        <v>26.621431053150971</v>
      </c>
      <c r="F53" s="14">
        <v>13.598461473181795</v>
      </c>
      <c r="G53" s="14">
        <v>14.42787234036753</v>
      </c>
      <c r="H53" s="14">
        <v>12.469744770312523</v>
      </c>
      <c r="I53" s="14">
        <v>4.384717843738926</v>
      </c>
      <c r="J53" s="14">
        <v>4.3186400387349577</v>
      </c>
      <c r="K53" s="14">
        <v>4.2572149374875448</v>
      </c>
      <c r="L53" s="14">
        <v>2.1933108653843685</v>
      </c>
      <c r="M53" s="14">
        <v>2.4113840044557744</v>
      </c>
      <c r="N53" s="14">
        <v>2.2103956614583282</v>
      </c>
      <c r="O53" s="14">
        <v>1.5357278249999813</v>
      </c>
      <c r="P53" s="14">
        <v>1.3265140357085543</v>
      </c>
      <c r="Q53" s="14">
        <v>1.5703995892811018</v>
      </c>
      <c r="R53" s="14">
        <v>0.88743430505685794</v>
      </c>
      <c r="S53" s="14">
        <v>0.99328429807680507</v>
      </c>
      <c r="T53" s="14">
        <v>0.94732191377579322</v>
      </c>
      <c r="U53" s="14">
        <v>0.74689839624999199</v>
      </c>
      <c r="V53" s="14">
        <v>0.58736607499999194</v>
      </c>
      <c r="W53" s="14">
        <v>0.5060317788460883</v>
      </c>
      <c r="X53" s="14">
        <v>0.33038041304347399</v>
      </c>
      <c r="Y53" s="14">
        <v>0.27888940624999675</v>
      </c>
      <c r="Z53" s="14">
        <v>0.11755281547618657</v>
      </c>
      <c r="AA53" s="14">
        <v>0.10596162499999684</v>
      </c>
      <c r="AB53" s="14">
        <v>0.10247589999999651</v>
      </c>
      <c r="AC53" s="14">
        <v>4.8644727941174581E-2</v>
      </c>
      <c r="AD53" s="14">
        <v>4.4491922619044333E-2</v>
      </c>
      <c r="AE53" s="14">
        <v>4.4427330357141859E-2</v>
      </c>
      <c r="AF53">
        <v>0.12152379166666472</v>
      </c>
      <c r="AG53">
        <v>0.12519193749999724</v>
      </c>
      <c r="AH53">
        <v>0.12397649999999727</v>
      </c>
      <c r="AI53">
        <v>6.3071014705880168E-2</v>
      </c>
      <c r="AJ53">
        <v>6.0956794642855527E-2</v>
      </c>
      <c r="AK53">
        <v>7.1852703144625329E-2</v>
      </c>
      <c r="AL53">
        <v>2.0867989583332247E-2</v>
      </c>
      <c r="AM53">
        <v>1.3024464285712467E-2</v>
      </c>
      <c r="AN53">
        <v>1.0140984279764731E-2</v>
      </c>
      <c r="AO53">
        <v>2.2139447916666055E-2</v>
      </c>
      <c r="AP53">
        <v>1.1358312499998968E-2</v>
      </c>
    </row>
    <row r="54" spans="1:42" x14ac:dyDescent="0.2">
      <c r="A54">
        <v>-0.35350399999999998</v>
      </c>
      <c r="B54">
        <v>3.3815963348265976E-4</v>
      </c>
      <c r="C54" s="14">
        <v>25.825092820636776</v>
      </c>
      <c r="D54" s="14">
        <v>25.444923924918463</v>
      </c>
      <c r="E54" s="14">
        <v>23.571406696469996</v>
      </c>
      <c r="F54" s="14">
        <v>10.609391276534149</v>
      </c>
      <c r="G54" s="14">
        <v>11.413854354188212</v>
      </c>
      <c r="H54" s="14">
        <v>9.4034075567323328</v>
      </c>
      <c r="I54" s="14">
        <v>3.1688027619842378</v>
      </c>
      <c r="J54" s="14">
        <v>3.1198684812823592</v>
      </c>
      <c r="K54" s="14">
        <v>3.1092764253017218</v>
      </c>
      <c r="L54" s="14">
        <v>1.6769323325774201</v>
      </c>
      <c r="M54" s="14">
        <v>1.8648780741253215</v>
      </c>
      <c r="N54" s="14">
        <v>1.7015668205549905</v>
      </c>
      <c r="O54" s="14">
        <v>1.2226979701742224</v>
      </c>
      <c r="P54" s="14">
        <v>1.0447258748086892</v>
      </c>
      <c r="Q54" s="14">
        <v>1.2426583329778746</v>
      </c>
      <c r="R54" s="14">
        <v>0.69717783891662333</v>
      </c>
      <c r="S54" s="14">
        <v>0.79127008146293654</v>
      </c>
      <c r="T54" s="14">
        <v>0.77817766916238162</v>
      </c>
      <c r="U54" s="14">
        <v>0.58916749055916673</v>
      </c>
      <c r="V54" s="14">
        <v>0.47768413377487429</v>
      </c>
      <c r="W54" s="14">
        <v>0.40692507669631167</v>
      </c>
      <c r="X54" s="14">
        <v>0.26110791421130186</v>
      </c>
      <c r="Y54" s="14">
        <v>0.21697803166201007</v>
      </c>
      <c r="Z54" s="14">
        <v>8.3268882674600642E-2</v>
      </c>
      <c r="AA54" s="14">
        <v>8.7062315056095296E-2</v>
      </c>
      <c r="AB54" s="14">
        <v>7.8911236239074145E-2</v>
      </c>
      <c r="AC54" s="14">
        <v>4.585586115292839E-2</v>
      </c>
      <c r="AD54" s="14">
        <v>3.7788738751378781E-2</v>
      </c>
      <c r="AE54" s="14">
        <v>3.1837687650955293E-2</v>
      </c>
      <c r="AF54">
        <v>0.11727679253054635</v>
      </c>
      <c r="AG54">
        <v>0.12088798713871807</v>
      </c>
      <c r="AH54">
        <v>0.13188787564126592</v>
      </c>
      <c r="AI54">
        <v>6.7933798497246789E-2</v>
      </c>
      <c r="AJ54">
        <v>6.1870644969604038E-2</v>
      </c>
      <c r="AK54">
        <v>6.9122613123750343E-2</v>
      </c>
      <c r="AL54">
        <v>2.1314025653618951E-2</v>
      </c>
      <c r="AM54">
        <v>1.9733466894899521E-2</v>
      </c>
      <c r="AN54">
        <v>2.0971217533840347E-2</v>
      </c>
      <c r="AO54">
        <v>1.9751003543852674E-2</v>
      </c>
      <c r="AP54">
        <v>1.0325115221548997E-2</v>
      </c>
    </row>
    <row r="55" spans="1:42" x14ac:dyDescent="0.2">
      <c r="A55">
        <v>-0.34866900000000001</v>
      </c>
      <c r="B55">
        <v>0</v>
      </c>
      <c r="C55" s="14">
        <v>22.368842665793458</v>
      </c>
      <c r="D55" s="14">
        <v>21.995986785276266</v>
      </c>
      <c r="E55" s="14">
        <v>19.719886108130822</v>
      </c>
      <c r="F55" s="14">
        <v>7.7288199010958962</v>
      </c>
      <c r="G55" s="14">
        <v>8.4068352007950988</v>
      </c>
      <c r="H55" s="14">
        <v>6.6065701712400635</v>
      </c>
      <c r="I55" s="14">
        <v>2.2923865359748286</v>
      </c>
      <c r="J55" s="14">
        <v>2.2605957887909574</v>
      </c>
      <c r="K55" s="14">
        <v>2.2710857759300387</v>
      </c>
      <c r="L55" s="14">
        <v>1.2821786900404446</v>
      </c>
      <c r="M55" s="14">
        <v>1.4321220438215319</v>
      </c>
      <c r="N55" s="14">
        <v>1.2881128783316482</v>
      </c>
      <c r="O55" s="14">
        <v>0.98316803052270541</v>
      </c>
      <c r="P55" s="14">
        <v>0.8311876244375489</v>
      </c>
      <c r="Q55" s="14">
        <v>0.99016599894286361</v>
      </c>
      <c r="R55" s="14">
        <v>0.55023230633124798</v>
      </c>
      <c r="S55" s="14">
        <v>0.63037978285058383</v>
      </c>
      <c r="T55" s="14">
        <v>0.61865835234935196</v>
      </c>
      <c r="U55" s="14">
        <v>0.45878051167751654</v>
      </c>
      <c r="V55" s="14">
        <v>0.38134512132463927</v>
      </c>
      <c r="W55" s="14">
        <v>0.32072530701214252</v>
      </c>
      <c r="X55" s="14">
        <v>0.19905435132956617</v>
      </c>
      <c r="Y55" s="14">
        <v>0.16688059498603686</v>
      </c>
      <c r="Z55" s="14">
        <v>7.1516886119047385E-2</v>
      </c>
      <c r="AA55" s="14">
        <v>6.4224945168292136E-2</v>
      </c>
      <c r="AB55" s="14">
        <v>6.8908508717229533E-2</v>
      </c>
      <c r="AC55" s="14">
        <v>3.7378936399965312E-2</v>
      </c>
      <c r="AD55" s="14">
        <v>3.4804501968428214E-2</v>
      </c>
      <c r="AE55" s="14">
        <v>2.5809991524296194E-2</v>
      </c>
      <c r="AF55">
        <v>0.11040371092497603</v>
      </c>
      <c r="AG55">
        <v>0.10619396141615955</v>
      </c>
      <c r="AH55">
        <v>0.1266741824793588</v>
      </c>
      <c r="AI55">
        <v>5.4749513138803718E-2</v>
      </c>
      <c r="AJ55">
        <v>5.8628434908815308E-2</v>
      </c>
      <c r="AK55">
        <v>7.1203452884287866E-2</v>
      </c>
      <c r="AL55">
        <v>2.5041993627525794E-2</v>
      </c>
      <c r="AM55">
        <v>1.4738400684702002E-2</v>
      </c>
      <c r="AN55">
        <v>1.3864369066720506E-2</v>
      </c>
      <c r="AO55">
        <v>1.9769510631559295E-2</v>
      </c>
      <c r="AP55">
        <v>1.3995845664649065E-2</v>
      </c>
    </row>
    <row r="56" spans="1:42" x14ac:dyDescent="0.2">
      <c r="A56">
        <v>-0.343833</v>
      </c>
      <c r="B56">
        <v>1.1157784299298812E-3</v>
      </c>
      <c r="C56" s="14">
        <v>18.156600317763175</v>
      </c>
      <c r="D56" s="14">
        <v>17.75955551676568</v>
      </c>
      <c r="E56" s="14">
        <v>15.322369373260139</v>
      </c>
      <c r="F56" s="14">
        <v>5.3487469559834029</v>
      </c>
      <c r="G56" s="14">
        <v>5.8373163851162992</v>
      </c>
      <c r="H56" s="14">
        <v>4.5202301610572846</v>
      </c>
      <c r="I56" s="14">
        <v>1.7012204640035073</v>
      </c>
      <c r="J56" s="14">
        <v>1.6463231766115154</v>
      </c>
      <c r="K56" s="14">
        <v>1.6726462240455966</v>
      </c>
      <c r="L56" s="14">
        <v>1.0020499253436901</v>
      </c>
      <c r="M56" s="14">
        <v>1.0868668133046755</v>
      </c>
      <c r="N56" s="14">
        <v>0.96915874666834212</v>
      </c>
      <c r="O56" s="14">
        <v>0.78169976947725828</v>
      </c>
      <c r="P56" s="14">
        <v>0.65396208983677362</v>
      </c>
      <c r="Q56" s="14">
        <v>0.78929928676225458</v>
      </c>
      <c r="R56" s="14">
        <v>0.43828833089407593</v>
      </c>
      <c r="S56" s="14">
        <v>0.49792814022610909</v>
      </c>
      <c r="T56" s="14">
        <v>0.47270261313372253</v>
      </c>
      <c r="U56" s="14">
        <v>0.35814411832246762</v>
      </c>
      <c r="V56" s="14">
        <v>0.29725767867534514</v>
      </c>
      <c r="W56" s="14">
        <v>0.23605707760311656</v>
      </c>
      <c r="X56" s="14">
        <v>0.1582203008443388</v>
      </c>
      <c r="Y56" s="14">
        <v>0.13406365501395695</v>
      </c>
      <c r="Z56" s="14">
        <v>5.8889399595230651E-2</v>
      </c>
      <c r="AA56" s="14">
        <v>5.6919054831701565E-2</v>
      </c>
      <c r="AB56" s="14">
        <v>5.3656291282763946E-2</v>
      </c>
      <c r="AC56" s="14">
        <v>2.3871475364737049E-2</v>
      </c>
      <c r="AD56" s="14">
        <v>2.9851688507756324E-2</v>
      </c>
      <c r="AE56" s="14">
        <v>2.2189722761416619E-2</v>
      </c>
      <c r="AF56">
        <v>9.6094289075020156E-2</v>
      </c>
      <c r="AG56">
        <v>9.1718538583834497E-2</v>
      </c>
      <c r="AH56">
        <v>0.11380503974285772</v>
      </c>
      <c r="AI56">
        <v>5.0642780978838675E-2</v>
      </c>
      <c r="AJ56">
        <v>5.0683707948324441E-2</v>
      </c>
      <c r="AK56">
        <v>5.9285859535050389E-2</v>
      </c>
      <c r="AL56">
        <v>1.8926506372471841E-2</v>
      </c>
      <c r="AM56">
        <v>1.280788502958019E-2</v>
      </c>
      <c r="AN56">
        <v>2.163217749928148E-2</v>
      </c>
      <c r="AO56">
        <v>1.7381406035106184E-2</v>
      </c>
      <c r="AP56">
        <v>1.1980154335348492E-2</v>
      </c>
    </row>
    <row r="57" spans="1:42" x14ac:dyDescent="0.2">
      <c r="A57">
        <v>-0.33899799999999997</v>
      </c>
      <c r="B57">
        <v>1.2723476968952707E-3</v>
      </c>
      <c r="C57" s="14">
        <v>13.499856162959514</v>
      </c>
      <c r="D57" s="14">
        <v>13.131123377148706</v>
      </c>
      <c r="E57" s="14">
        <v>10.942348784965846</v>
      </c>
      <c r="F57" s="14">
        <v>3.7316705805453512</v>
      </c>
      <c r="G57" s="14">
        <v>3.9572922317240535</v>
      </c>
      <c r="H57" s="14">
        <v>3.1653857755678581</v>
      </c>
      <c r="I57" s="14">
        <v>1.2938022379941665</v>
      </c>
      <c r="J57" s="14">
        <v>1.2070484841204507</v>
      </c>
      <c r="K57" s="14">
        <v>1.2597045746739897</v>
      </c>
      <c r="L57" s="14">
        <v>0.78492028280671655</v>
      </c>
      <c r="M57" s="14">
        <v>0.83085978300093821</v>
      </c>
      <c r="N57" s="14">
        <v>0.7552038044449999</v>
      </c>
      <c r="O57" s="14">
        <v>0.60341982982574116</v>
      </c>
      <c r="P57" s="14">
        <v>0.50123683946566921</v>
      </c>
      <c r="Q57" s="14">
        <v>0.60855595272727248</v>
      </c>
      <c r="R57" s="14">
        <v>0.34209280424093724</v>
      </c>
      <c r="S57" s="14">
        <v>0.37816284161375724</v>
      </c>
      <c r="T57" s="14">
        <v>0.34687129632079328</v>
      </c>
      <c r="U57" s="14">
        <v>0.28353813944081752</v>
      </c>
      <c r="V57" s="14">
        <v>0.22257566622511016</v>
      </c>
      <c r="W57" s="14">
        <v>0.17523230791894789</v>
      </c>
      <c r="X57" s="14">
        <v>0.12919773796260325</v>
      </c>
      <c r="Y57" s="14">
        <v>0.1117462183379837</v>
      </c>
      <c r="Z57" s="14">
        <v>4.4730403039677569E-2</v>
      </c>
      <c r="AA57" s="14">
        <v>4.0643684943898584E-2</v>
      </c>
      <c r="AB57" s="14">
        <v>4.4966563760919342E-2</v>
      </c>
      <c r="AC57" s="14">
        <v>1.2769550611774094E-2</v>
      </c>
      <c r="AD57" s="14">
        <v>2.3804451724805831E-2</v>
      </c>
      <c r="AE57" s="14">
        <v>1.6600026634757681E-2</v>
      </c>
      <c r="AF57">
        <v>9.0753207469450037E-2</v>
      </c>
      <c r="AG57">
        <v>8.0743512861276234E-2</v>
      </c>
      <c r="AH57">
        <v>9.6997346580950605E-2</v>
      </c>
      <c r="AI57">
        <v>5.0474495620395743E-2</v>
      </c>
      <c r="AJ57">
        <v>4.0878497887535836E-2</v>
      </c>
      <c r="AK57">
        <v>5.3055700567084085E-2</v>
      </c>
      <c r="AL57">
        <v>1.6529474346378747E-2</v>
      </c>
      <c r="AM57">
        <v>1.0547818819382826E-2</v>
      </c>
      <c r="AN57">
        <v>1.7369329842097159E-2</v>
      </c>
      <c r="AO57">
        <v>1.1493913122812782E-2</v>
      </c>
      <c r="AP57">
        <v>1.4119884778448721E-2</v>
      </c>
    </row>
    <row r="58" spans="1:42" x14ac:dyDescent="0.2">
      <c r="A58">
        <v>-0.33416299999999999</v>
      </c>
      <c r="B58">
        <v>6.5588325557958127E-4</v>
      </c>
      <c r="C58" s="14">
        <v>9.1266132340247399</v>
      </c>
      <c r="D58" s="14">
        <v>8.859689471434038</v>
      </c>
      <c r="E58" s="14">
        <v>7.3078274283744262</v>
      </c>
      <c r="F58" s="14">
        <v>2.6815903838981039</v>
      </c>
      <c r="G58" s="14">
        <v>2.6967662455464665</v>
      </c>
      <c r="H58" s="14">
        <v>2.2585395619933388</v>
      </c>
      <c r="I58" s="14">
        <v>0.96863315623961521</v>
      </c>
      <c r="J58" s="14">
        <v>0.91477292666852461</v>
      </c>
      <c r="K58" s="14">
        <v>0.96751206248832045</v>
      </c>
      <c r="L58" s="14">
        <v>0.60716574999977124</v>
      </c>
      <c r="M58" s="14">
        <v>0.64310285267058998</v>
      </c>
      <c r="N58" s="14">
        <v>0.59987396354166223</v>
      </c>
      <c r="O58" s="14">
        <v>0.43826397499998293</v>
      </c>
      <c r="P58" s="14">
        <v>0.36469767856587554</v>
      </c>
      <c r="Q58" s="14">
        <v>0.45012569642410283</v>
      </c>
      <c r="R58" s="14">
        <v>0.26121034995344483</v>
      </c>
      <c r="S58" s="14">
        <v>0.28289762499989046</v>
      </c>
      <c r="T58" s="14">
        <v>0.27091405170758176</v>
      </c>
      <c r="U58" s="14">
        <v>0.22818223374999247</v>
      </c>
      <c r="V58" s="14">
        <v>0.16408072499999271</v>
      </c>
      <c r="W58" s="14">
        <v>0.13890760576917227</v>
      </c>
      <c r="X58" s="14">
        <v>0.10695623913043106</v>
      </c>
      <c r="Y58" s="14">
        <v>8.6585843749997171E-2</v>
      </c>
      <c r="Z58" s="14">
        <v>3.0571470238091591E-2</v>
      </c>
      <c r="AA58" s="14">
        <v>2.9181374999997178E-2</v>
      </c>
      <c r="AB58" s="14">
        <v>3.0588899999997143E-2</v>
      </c>
      <c r="AC58" s="14">
        <v>1.1730683823527988E-2</v>
      </c>
      <c r="AD58" s="14">
        <v>1.2507267857140181E-2</v>
      </c>
      <c r="AE58" s="14">
        <v>6.1973839285711652E-3</v>
      </c>
      <c r="AF58">
        <v>6.7037208333331599E-2</v>
      </c>
      <c r="AG58">
        <v>6.6705562499997151E-2</v>
      </c>
      <c r="AH58">
        <v>8.6752722222219303E-2</v>
      </c>
      <c r="AI58">
        <v>4.1446279411762377E-2</v>
      </c>
      <c r="AJ58">
        <v>3.6433348214284345E-2</v>
      </c>
      <c r="AK58">
        <v>4.6824613086201783E-2</v>
      </c>
      <c r="AL58">
        <v>1.1725510416665585E-2</v>
      </c>
      <c r="AM58">
        <v>5.8818214285698556E-3</v>
      </c>
      <c r="AN58">
        <v>1.5512564714042276E-2</v>
      </c>
      <c r="AO58">
        <v>9.1054687499994569E-3</v>
      </c>
      <c r="AP58">
        <v>1.3305687499998831E-2</v>
      </c>
    </row>
    <row r="59" spans="1:42" x14ac:dyDescent="0.2">
      <c r="A59">
        <v>-0.32932800000000001</v>
      </c>
      <c r="B59">
        <v>0</v>
      </c>
      <c r="C59" s="14">
        <v>5.8488635309588535</v>
      </c>
      <c r="D59" s="14">
        <v>5.6557507996216749</v>
      </c>
      <c r="E59" s="14">
        <v>4.7653003034858825</v>
      </c>
      <c r="F59" s="14">
        <v>1.9570093660416612</v>
      </c>
      <c r="G59" s="14">
        <v>1.9227374265835384</v>
      </c>
      <c r="H59" s="14">
        <v>1.6176925203337269</v>
      </c>
      <c r="I59" s="14">
        <v>0.72046421873985367</v>
      </c>
      <c r="J59" s="14">
        <v>0.72399750425573728</v>
      </c>
      <c r="K59" s="14">
        <v>0.75581968748858874</v>
      </c>
      <c r="L59" s="14">
        <v>0.44341132692285434</v>
      </c>
      <c r="M59" s="14">
        <v>0.50609602231363049</v>
      </c>
      <c r="N59" s="14">
        <v>0.47341922395832903</v>
      </c>
      <c r="O59" s="14">
        <v>0.31992020499998353</v>
      </c>
      <c r="P59" s="14">
        <v>0.27322160713739319</v>
      </c>
      <c r="Q59" s="14">
        <v>0.32232151785274588</v>
      </c>
      <c r="R59" s="14">
        <v>0.18688996803159852</v>
      </c>
      <c r="S59" s="14">
        <v>0.20950749038450878</v>
      </c>
      <c r="T59" s="14">
        <v>0.22208187929408807</v>
      </c>
      <c r="U59" s="14">
        <v>0.17413840124999269</v>
      </c>
      <c r="V59" s="14">
        <v>0.12877385499999305</v>
      </c>
      <c r="W59" s="14">
        <v>0.11636397115378971</v>
      </c>
      <c r="X59" s="14">
        <v>8.0340804347822536E-2</v>
      </c>
      <c r="Y59" s="14">
        <v>5.9675531249997249E-2</v>
      </c>
      <c r="Z59" s="14">
        <v>2.4287601190472685E-2</v>
      </c>
      <c r="AA59" s="14">
        <v>1.3781124999997174E-2</v>
      </c>
      <c r="AB59" s="14">
        <v>2.080629999999728E-2</v>
      </c>
      <c r="AC59" s="14">
        <v>1.2660874999998684E-2</v>
      </c>
      <c r="AD59" s="14">
        <v>5.8051369047593671E-3</v>
      </c>
      <c r="AE59" s="14">
        <v>2.7947946428570347E-3</v>
      </c>
      <c r="AF59">
        <v>6.4321291666665115E-2</v>
      </c>
      <c r="AG59">
        <v>5.3542687499997244E-2</v>
      </c>
      <c r="AH59">
        <v>6.4914166666663831E-2</v>
      </c>
      <c r="AI59">
        <v>3.5480132352938898E-2</v>
      </c>
      <c r="AJ59">
        <v>2.5644258928570252E-2</v>
      </c>
      <c r="AK59">
        <v>3.5562597092403614E-2</v>
      </c>
      <c r="AL59">
        <v>6.7036145833323513E-3</v>
      </c>
      <c r="AM59">
        <v>8.8718928571414057E-3</v>
      </c>
      <c r="AN59">
        <v>8.1868821151168669E-3</v>
      </c>
      <c r="AO59">
        <v>8.7960729166661755E-3</v>
      </c>
      <c r="AP59">
        <v>7.4615624999988528E-3</v>
      </c>
    </row>
    <row r="60" spans="1:42" x14ac:dyDescent="0.2">
      <c r="A60">
        <v>-0.32449299999999998</v>
      </c>
      <c r="B60">
        <v>7.8342068686898525E-4</v>
      </c>
      <c r="C60" s="14">
        <v>3.8136086020632636</v>
      </c>
      <c r="D60" s="14">
        <v>3.5788068939315645</v>
      </c>
      <c r="E60" s="14">
        <v>3.1187699469381611</v>
      </c>
      <c r="F60" s="14">
        <v>1.4109281693946036</v>
      </c>
      <c r="G60" s="14">
        <v>1.4497074404067836</v>
      </c>
      <c r="H60" s="14">
        <v>1.183344306761966</v>
      </c>
      <c r="I60" s="14">
        <v>0.52304513698536714</v>
      </c>
      <c r="J60" s="14">
        <v>0.58397194680413445</v>
      </c>
      <c r="K60" s="14">
        <v>0.56862717530299223</v>
      </c>
      <c r="L60" s="14">
        <v>0.33040579411591076</v>
      </c>
      <c r="M60" s="14">
        <v>0.38746309198333195</v>
      </c>
      <c r="N60" s="14">
        <v>0.3565883830549913</v>
      </c>
      <c r="O60" s="14">
        <v>0.25582735017422542</v>
      </c>
      <c r="P60" s="14">
        <v>0.21849544623763451</v>
      </c>
      <c r="Q60" s="14">
        <v>0.24132826154960418</v>
      </c>
      <c r="R60" s="14">
        <v>0.14450752004322465</v>
      </c>
      <c r="S60" s="14">
        <v>0.1671792737706429</v>
      </c>
      <c r="T60" s="14">
        <v>0.18024963468097277</v>
      </c>
      <c r="U60" s="14">
        <v>0.12884449555916777</v>
      </c>
      <c r="V60" s="14">
        <v>0.11009091377487557</v>
      </c>
      <c r="W60" s="14">
        <v>9.9507269004014631E-2</v>
      </c>
      <c r="X60" s="14">
        <v>5.2849305515650591E-2</v>
      </c>
      <c r="Y60" s="14">
        <v>4.2608156662010788E-2</v>
      </c>
      <c r="Z60" s="14">
        <v>1.0347668388886677E-2</v>
      </c>
      <c r="AA60" s="14">
        <v>1.0193815056095845E-2</v>
      </c>
      <c r="AB60" s="14">
        <v>1.4084636239075077E-2</v>
      </c>
      <c r="AC60" s="14">
        <v>1.2059008211752542E-2</v>
      </c>
      <c r="AD60" s="14">
        <v>2.3829530370937935E-3</v>
      </c>
      <c r="AE60" s="14">
        <v>0</v>
      </c>
      <c r="AF60">
        <v>4.3667292530546797E-2</v>
      </c>
      <c r="AG60">
        <v>4.2129737138718149E-2</v>
      </c>
      <c r="AH60">
        <v>5.4669542307932417E-2</v>
      </c>
      <c r="AI60">
        <v>2.0216916144305652E-2</v>
      </c>
      <c r="AJ60">
        <v>2.1746109255318724E-2</v>
      </c>
      <c r="AK60">
        <v>2.5612511088001444E-2</v>
      </c>
      <c r="AL60">
        <v>1.2436506536190883E-3</v>
      </c>
      <c r="AM60">
        <v>1.6898954663284727E-3</v>
      </c>
      <c r="AN60">
        <v>9.1731179814800168E-3</v>
      </c>
      <c r="AO60">
        <v>1.1576285438529288E-3</v>
      </c>
      <c r="AP60">
        <v>7.6323652215490867E-3</v>
      </c>
    </row>
    <row r="61" spans="1:42" x14ac:dyDescent="0.2">
      <c r="A61">
        <v>-0.319658</v>
      </c>
      <c r="B61">
        <v>2.4987399982383529E-3</v>
      </c>
      <c r="C61" s="14">
        <v>2.5903504473379715</v>
      </c>
      <c r="D61" s="14">
        <v>2.2858597543637047</v>
      </c>
      <c r="E61" s="14">
        <v>2.0847353587312605</v>
      </c>
      <c r="F61" s="14">
        <v>1.0153457939569306</v>
      </c>
      <c r="G61" s="14">
        <v>1.1236772870162031</v>
      </c>
      <c r="H61" s="14">
        <v>0.92749492127805577</v>
      </c>
      <c r="I61" s="14">
        <v>0.41312591097615525</v>
      </c>
      <c r="J61" s="14">
        <v>0.47544525431371654</v>
      </c>
      <c r="K61" s="14">
        <v>0.42605952593153051</v>
      </c>
      <c r="L61" s="14">
        <v>0.26377515157894038</v>
      </c>
      <c r="M61" s="14">
        <v>0.29245606167969407</v>
      </c>
      <c r="N61" s="14">
        <v>0.26513344083164903</v>
      </c>
      <c r="O61" s="14">
        <v>0.2131704105227088</v>
      </c>
      <c r="P61" s="14">
        <v>0.18958119586659916</v>
      </c>
      <c r="Q61" s="14">
        <v>0.20583492751467758</v>
      </c>
      <c r="R61" s="14">
        <v>0.12575000598832287</v>
      </c>
      <c r="S61" s="14">
        <v>0.14803797515829253</v>
      </c>
      <c r="T61" s="14">
        <v>0.14104331786823598</v>
      </c>
      <c r="U61" s="14">
        <v>9.6894516677517584E-2</v>
      </c>
      <c r="V61" s="14">
        <v>9.4033901324640734E-2</v>
      </c>
      <c r="W61" s="14">
        <v>8.3963499319846813E-2</v>
      </c>
      <c r="X61" s="14">
        <v>4.3295742633914891E-2</v>
      </c>
      <c r="Y61" s="14">
        <v>2.9478719986037571E-2</v>
      </c>
      <c r="Z61" s="14">
        <v>1.2157671833333716E-2</v>
      </c>
      <c r="AA61" s="14">
        <v>1.1856445168292873E-2</v>
      </c>
      <c r="AB61" s="14">
        <v>1.5238908717230437E-2</v>
      </c>
      <c r="AC61" s="14">
        <v>1.1238083458789572E-2</v>
      </c>
      <c r="AD61" s="14">
        <v>6.8357162541433647E-3</v>
      </c>
      <c r="AE61" s="14">
        <v>3.7872812806989953E-3</v>
      </c>
      <c r="AF61">
        <v>3.0451210924976713E-2</v>
      </c>
      <c r="AG61">
        <v>3.0497711416159978E-2</v>
      </c>
      <c r="AH61">
        <v>4.1142849146025395E-2</v>
      </c>
      <c r="AI61">
        <v>1.9282630785862676E-2</v>
      </c>
      <c r="AJ61">
        <v>1.4128899194530198E-2</v>
      </c>
      <c r="AK61">
        <v>2.2882355072995408E-2</v>
      </c>
      <c r="AL61">
        <v>4.5346186275261324E-3</v>
      </c>
      <c r="AM61">
        <v>1.5088292561311611E-3</v>
      </c>
      <c r="AN61">
        <v>5.7852723131314177E-3</v>
      </c>
      <c r="AO61">
        <v>0</v>
      </c>
      <c r="AP61">
        <v>5.1780956646492182E-3</v>
      </c>
    </row>
    <row r="62" spans="1:42" x14ac:dyDescent="0.2">
      <c r="A62">
        <v>-0.31482199999999999</v>
      </c>
      <c r="B62">
        <v>4.2142895897428478E-3</v>
      </c>
      <c r="C62" s="14">
        <v>1.7975910994248925</v>
      </c>
      <c r="D62" s="14">
        <v>1.4654124859265711</v>
      </c>
      <c r="E62" s="14">
        <v>1.4567016239912793</v>
      </c>
      <c r="F62" s="14">
        <v>0.76851384884500418</v>
      </c>
      <c r="G62" s="14">
        <v>0.86414747133989045</v>
      </c>
      <c r="H62" s="14">
        <v>0.77664691110352158</v>
      </c>
      <c r="I62" s="14">
        <v>0.34345683900502699</v>
      </c>
      <c r="J62" s="14">
        <v>0.35554564213524076</v>
      </c>
      <c r="K62" s="14">
        <v>0.31849197404730556</v>
      </c>
      <c r="L62" s="14">
        <v>0.22952138688219059</v>
      </c>
      <c r="M62" s="14">
        <v>0.2254488311629862</v>
      </c>
      <c r="N62" s="14">
        <v>0.20430330916834327</v>
      </c>
      <c r="O62" s="14">
        <v>0.18801514947726206</v>
      </c>
      <c r="P62" s="14">
        <v>0.1637306612659275</v>
      </c>
      <c r="Q62" s="14">
        <v>0.17865521533415207</v>
      </c>
      <c r="R62" s="14">
        <v>0.11049204942652069</v>
      </c>
      <c r="S62" s="14">
        <v>0.13327333253382012</v>
      </c>
      <c r="T62" s="14">
        <v>0.10752357865289419</v>
      </c>
      <c r="U62" s="14">
        <v>8.4195123322469034E-2</v>
      </c>
      <c r="V62" s="14">
        <v>7.7758458675346809E-2</v>
      </c>
      <c r="W62" s="14">
        <v>6.1420269910822001E-2</v>
      </c>
      <c r="X62" s="14">
        <v>4.0085692148687735E-2</v>
      </c>
      <c r="Y62" s="14">
        <v>3.0349780013957661E-2</v>
      </c>
      <c r="Z62" s="14">
        <v>1.6374185309516953E-2</v>
      </c>
      <c r="AA62" s="14">
        <v>1.5706554831702246E-2</v>
      </c>
      <c r="AB62" s="14">
        <v>1.6830691282765042E-2</v>
      </c>
      <c r="AC62" s="14">
        <v>9.3246224235613018E-3</v>
      </c>
      <c r="AD62" s="14">
        <v>3.4139027934714794E-3</v>
      </c>
      <c r="AE62" s="14">
        <v>9.0828853859675207E-3</v>
      </c>
      <c r="AF62">
        <v>2.8172789075020854E-2</v>
      </c>
      <c r="AG62">
        <v>2.2147288583834968E-2</v>
      </c>
      <c r="AH62">
        <v>3.4398706409524471E-2</v>
      </c>
      <c r="AI62">
        <v>1.200489862589782E-2</v>
      </c>
      <c r="AJ62">
        <v>1.1980172234039355E-2</v>
      </c>
      <c r="AK62">
        <v>1.8401766146918352E-2</v>
      </c>
      <c r="AL62">
        <v>3.8871313724722079E-3</v>
      </c>
      <c r="AM62">
        <v>1.7643136010092597E-3</v>
      </c>
      <c r="AN62">
        <v>1.0053083724493539E-2</v>
      </c>
      <c r="AO62">
        <v>2.2880310351064415E-3</v>
      </c>
      <c r="AP62">
        <v>6.6614043353488972E-3</v>
      </c>
    </row>
    <row r="63" spans="1:42" x14ac:dyDescent="0.2">
      <c r="A63">
        <v>-0.30998700000000001</v>
      </c>
      <c r="B63">
        <v>5.5456089363240535E-3</v>
      </c>
      <c r="C63" s="14">
        <v>1.2813299447375557</v>
      </c>
      <c r="D63" s="14">
        <v>0.99496134638213041</v>
      </c>
      <c r="E63" s="14">
        <v>1.108665035826049</v>
      </c>
      <c r="F63" s="14">
        <v>0.63717947340750547</v>
      </c>
      <c r="G63" s="14">
        <v>0.65011631795008662</v>
      </c>
      <c r="H63" s="14">
        <v>0.64504752562222401</v>
      </c>
      <c r="I63" s="14">
        <v>0.29478661299587439</v>
      </c>
      <c r="J63" s="14">
        <v>0.27414394964512456</v>
      </c>
      <c r="K63" s="14">
        <v>0.27217432467591074</v>
      </c>
      <c r="L63" s="14">
        <v>0.19964074434522183</v>
      </c>
      <c r="M63" s="14">
        <v>0.18994080085939402</v>
      </c>
      <c r="N63" s="14">
        <v>0.18022236694500104</v>
      </c>
      <c r="O63" s="14">
        <v>0.14798420982574534</v>
      </c>
      <c r="P63" s="14">
        <v>0.13175341089492498</v>
      </c>
      <c r="Q63" s="14">
        <v>0.15278688129925178</v>
      </c>
      <c r="R63" s="14">
        <v>9.5671541985842046E-2</v>
      </c>
      <c r="S63" s="14">
        <v>0.10407003392147052</v>
      </c>
      <c r="T63" s="14">
        <v>8.1004261840247227E-2</v>
      </c>
      <c r="U63" s="14">
        <v>7.3245144440818866E-2</v>
      </c>
      <c r="V63" s="14">
        <v>6.1482446225111897E-2</v>
      </c>
      <c r="W63" s="14">
        <v>4.7407500226654464E-2</v>
      </c>
      <c r="X63" s="14">
        <v>3.8407129266952056E-2</v>
      </c>
      <c r="Y63" s="14">
        <v>3.0344343337984525E-2</v>
      </c>
      <c r="Z63" s="14">
        <v>1.5558188753964086E-2</v>
      </c>
      <c r="AA63" s="14">
        <v>1.08061849438994E-2</v>
      </c>
      <c r="AB63" s="14">
        <v>7.4839637609205312E-3</v>
      </c>
      <c r="AC63" s="14">
        <v>5.8796976705983717E-3</v>
      </c>
      <c r="AD63" s="14">
        <v>4.1486660105211071E-3</v>
      </c>
      <c r="AE63" s="14">
        <v>6.285072906433542E-3</v>
      </c>
      <c r="AF63">
        <v>2.2175707469450856E-2</v>
      </c>
      <c r="AG63">
        <v>2.0906262861276725E-2</v>
      </c>
      <c r="AH63">
        <v>2.7435013247617435E-2</v>
      </c>
      <c r="AI63">
        <v>1.2163613267454743E-2</v>
      </c>
      <c r="AJ63">
        <v>1.0706962173250845E-2</v>
      </c>
      <c r="AK63">
        <v>1.8733611798986693E-2</v>
      </c>
      <c r="AL63">
        <v>4.771099346379204E-3</v>
      </c>
      <c r="AM63">
        <v>2.7024739081205063E-4</v>
      </c>
      <c r="AN63">
        <v>6.4462392249082789E-3</v>
      </c>
      <c r="AO63">
        <v>2.9625381228131631E-3</v>
      </c>
      <c r="AP63">
        <v>4.5351347784491347E-3</v>
      </c>
    </row>
    <row r="64" spans="1:42" x14ac:dyDescent="0.2">
      <c r="A64">
        <v>-0.30515199999999998</v>
      </c>
      <c r="B64">
        <v>4.7177070875226712E-3</v>
      </c>
      <c r="C64" s="14">
        <v>0.99256701591769769</v>
      </c>
      <c r="D64" s="14">
        <v>0.76250944073874527</v>
      </c>
      <c r="E64" s="14">
        <v>0.90762767936147093</v>
      </c>
      <c r="F64" s="14">
        <v>0.54434627676079472</v>
      </c>
      <c r="G64" s="14">
        <v>0.49908533177488201</v>
      </c>
      <c r="H64" s="14">
        <v>0.51869731205567338</v>
      </c>
      <c r="I64" s="14">
        <v>0.24086753124150606</v>
      </c>
      <c r="J64" s="14">
        <v>0.22249239219412398</v>
      </c>
      <c r="K64" s="14">
        <v>0.22673081249044713</v>
      </c>
      <c r="L64" s="14">
        <v>0.16494721153828118</v>
      </c>
      <c r="M64" s="14">
        <v>0.16668287052918618</v>
      </c>
      <c r="N64" s="14">
        <v>0.15351652604166344</v>
      </c>
      <c r="O64" s="14">
        <v>0.11626535499998747</v>
      </c>
      <c r="P64" s="14">
        <v>9.7152249995230977E-2</v>
      </c>
      <c r="Q64" s="14">
        <v>0.11116862499616231</v>
      </c>
      <c r="R64" s="14">
        <v>7.5164107212834563E-2</v>
      </c>
      <c r="S64" s="14">
        <v>7.9679817307605982E-2</v>
      </c>
      <c r="T64" s="14">
        <v>7.2422017227311342E-2</v>
      </c>
      <c r="U64" s="14">
        <v>6.6013238749994096E-2</v>
      </c>
      <c r="V64" s="14">
        <v>4.5424504999994619E-2</v>
      </c>
      <c r="W64" s="14">
        <v>4.3019798076880056E-2</v>
      </c>
      <c r="X64" s="14">
        <v>3.6290630434780036E-2</v>
      </c>
      <c r="Y64" s="14">
        <v>2.7058968749998025E-2</v>
      </c>
      <c r="Z64" s="14">
        <v>9.4932559523782656E-3</v>
      </c>
      <c r="AA64" s="14">
        <v>8.5308749999980504E-3</v>
      </c>
      <c r="AB64" s="14">
        <v>1.0606299999998403E-2</v>
      </c>
      <c r="AC64" s="14">
        <v>6.3718308823523251E-3</v>
      </c>
      <c r="AD64" s="14">
        <v>2.695482142855532E-3</v>
      </c>
      <c r="AE64" s="14">
        <v>1.080312499999847E-3</v>
      </c>
      <c r="AF64">
        <v>1.7052708333332611E-2</v>
      </c>
      <c r="AG64">
        <v>1.4524312499997749E-2</v>
      </c>
      <c r="AH64">
        <v>1.9377388888886404E-2</v>
      </c>
      <c r="AI64">
        <v>1.0573397058821654E-2</v>
      </c>
      <c r="AJ64">
        <v>3.3088124999994806E-3</v>
      </c>
      <c r="AK64">
        <v>5.5025291248009811E-3</v>
      </c>
      <c r="AL64">
        <v>7.6241354166661779E-3</v>
      </c>
      <c r="AM64">
        <v>4.3542499999993378E-3</v>
      </c>
      <c r="AN64">
        <v>1.0495477425909838E-2</v>
      </c>
      <c r="AO64">
        <v>1.9960937499999276E-3</v>
      </c>
      <c r="AP64">
        <v>4.9249374999993378E-3</v>
      </c>
    </row>
    <row r="65" spans="1:42" x14ac:dyDescent="0.2">
      <c r="A65">
        <v>-0.300317</v>
      </c>
      <c r="B65">
        <v>4.6003340433387052E-3</v>
      </c>
      <c r="C65" s="14">
        <v>0.82805431296531817</v>
      </c>
      <c r="D65" s="14">
        <v>0.62455776899641557</v>
      </c>
      <c r="E65" s="14">
        <v>0.73109055459754446</v>
      </c>
      <c r="F65" s="14">
        <v>0.44451225890487145</v>
      </c>
      <c r="G65" s="14">
        <v>0.41367851281427648</v>
      </c>
      <c r="H65" s="14">
        <v>0.39584827040386961</v>
      </c>
      <c r="I65" s="14">
        <v>0.18607259374192175</v>
      </c>
      <c r="J65" s="14">
        <v>0.19884096978223853</v>
      </c>
      <c r="K65" s="14">
        <v>0.20053743749091457</v>
      </c>
      <c r="L65" s="14">
        <v>0.12719278846136872</v>
      </c>
      <c r="M65" s="14">
        <v>0.13817504017236282</v>
      </c>
      <c r="N65" s="14">
        <v>0.13556078645833036</v>
      </c>
      <c r="O65" s="14">
        <v>8.0609584999988382E-2</v>
      </c>
      <c r="P65" s="14">
        <v>7.2176178566845883E-2</v>
      </c>
      <c r="Q65" s="14">
        <v>8.3113446424883608E-2</v>
      </c>
      <c r="R65" s="14">
        <v>5.3343745107498175E-2</v>
      </c>
      <c r="S65" s="14">
        <v>6.3163682692226386E-2</v>
      </c>
      <c r="T65" s="14">
        <v>6.1651844814086143E-2</v>
      </c>
      <c r="U65" s="14">
        <v>5.7907406249994464E-2</v>
      </c>
      <c r="V65" s="14">
        <v>4.4679634999994944E-2</v>
      </c>
      <c r="W65" s="14">
        <v>4.1038163461498578E-2</v>
      </c>
      <c r="X65" s="14">
        <v>2.7612195652171656E-2</v>
      </c>
      <c r="Y65" s="14">
        <v>1.5897656249998227E-2</v>
      </c>
      <c r="Z65" s="14">
        <v>2.5533869047593694E-3</v>
      </c>
      <c r="AA65" s="14">
        <v>4.9436249999982307E-3</v>
      </c>
      <c r="AB65" s="14">
        <v>4.5416999999986496E-3</v>
      </c>
      <c r="AC65" s="14">
        <v>1.1676022058823066E-2</v>
      </c>
      <c r="AD65" s="14">
        <v>0</v>
      </c>
      <c r="AE65" s="14">
        <v>9.0660416666654697E-4</v>
      </c>
      <c r="AF65">
        <v>1.4992791666666117E-2</v>
      </c>
      <c r="AG65">
        <v>9.3464374999979727E-3</v>
      </c>
      <c r="AH65">
        <v>1.5695833333330911E-2</v>
      </c>
      <c r="AI65">
        <v>1.1935249999998176E-2</v>
      </c>
      <c r="AJ65">
        <v>2.9097232142851759E-3</v>
      </c>
      <c r="AK65">
        <v>4.9595181243611286E-3</v>
      </c>
      <c r="AL65">
        <v>5.0082395833328519E-3</v>
      </c>
      <c r="AM65">
        <v>1.1103214285708152E-3</v>
      </c>
      <c r="AN65">
        <v>7.9827983274983749E-3</v>
      </c>
      <c r="AO65">
        <v>0</v>
      </c>
      <c r="AP65">
        <v>5.4238124999995696E-3</v>
      </c>
    </row>
    <row r="66" spans="1:42" x14ac:dyDescent="0.2">
      <c r="A66">
        <v>-0.29548199999999997</v>
      </c>
      <c r="B66">
        <v>4.5106822421889237E-3</v>
      </c>
      <c r="C66" s="14">
        <v>0.72129038418127378</v>
      </c>
      <c r="D66" s="14">
        <v>0.50235486337474655</v>
      </c>
      <c r="E66" s="14">
        <v>0.58255219817160786</v>
      </c>
      <c r="F66" s="14">
        <v>0.34555406225831364</v>
      </c>
      <c r="G66" s="14">
        <v>0.35627152663977135</v>
      </c>
      <c r="H66" s="14">
        <v>0.31937305683971395</v>
      </c>
      <c r="I66" s="14">
        <v>0.13565251198760553</v>
      </c>
      <c r="J66" s="14">
        <v>0.17693941233150945</v>
      </c>
      <c r="K66" s="14">
        <v>0.16209392530550959</v>
      </c>
      <c r="L66" s="14">
        <v>9.599925565442935E-2</v>
      </c>
      <c r="M66" s="14">
        <v>0.11054210984219515</v>
      </c>
      <c r="N66" s="14">
        <v>0.11016794555499287</v>
      </c>
      <c r="O66" s="14">
        <v>7.0765730174230601E-2</v>
      </c>
      <c r="P66" s="14">
        <v>6.8199017667181394E-2</v>
      </c>
      <c r="Q66" s="14">
        <v>6.4682190121817751E-2</v>
      </c>
      <c r="R66" s="14">
        <v>3.8523317195914564E-2</v>
      </c>
      <c r="S66" s="14">
        <v>5.189846607836246E-2</v>
      </c>
      <c r="T66" s="14">
        <v>5.2195600201230929E-2</v>
      </c>
      <c r="U66" s="14">
        <v>3.5800500559169612E-2</v>
      </c>
      <c r="V66" s="14">
        <v>3.9340693774877811E-2</v>
      </c>
      <c r="W66" s="14">
        <v>3.4900461311724418E-2</v>
      </c>
      <c r="X66" s="14">
        <v>1.49966968199996E-2</v>
      </c>
      <c r="Y66" s="14">
        <v>7.5812816620117185E-3</v>
      </c>
      <c r="Z66" s="14">
        <v>1.3004541031735872E-3</v>
      </c>
      <c r="AA66" s="14">
        <v>1.5753150560968709E-3</v>
      </c>
      <c r="AB66" s="14">
        <v>0</v>
      </c>
      <c r="AC66" s="14">
        <v>1.1512155270577029E-2</v>
      </c>
      <c r="AD66" s="14">
        <v>1.1011673228091823E-3</v>
      </c>
      <c r="AE66" s="14">
        <v>1.1708437602328536E-3</v>
      </c>
      <c r="AF66">
        <v>3.0897925305478635E-3</v>
      </c>
      <c r="AG66">
        <v>3.9484871387189813E-3</v>
      </c>
      <c r="AH66">
        <v>1.1357208974599797E-2</v>
      </c>
      <c r="AI66">
        <v>7.0640337913651097E-3</v>
      </c>
      <c r="AJ66">
        <v>1.8555735410339391E-3</v>
      </c>
      <c r="AK66">
        <v>4.8534372875552734E-3</v>
      </c>
      <c r="AL66">
        <v>1.2982756536199513E-3</v>
      </c>
      <c r="AM66">
        <v>1.6943240377581548E-3</v>
      </c>
      <c r="AN66">
        <v>0</v>
      </c>
      <c r="AO66">
        <v>2.907633321336256E-5</v>
      </c>
      <c r="AP66">
        <v>2.0946152215497449E-3</v>
      </c>
    </row>
    <row r="67" spans="1:42" x14ac:dyDescent="0.2">
      <c r="A67">
        <v>-0.29064699999999999</v>
      </c>
      <c r="B67">
        <v>2.452001684073335E-3</v>
      </c>
      <c r="C67" s="14">
        <v>0.60052722956556448</v>
      </c>
      <c r="D67" s="14">
        <v>0.40115272387373824</v>
      </c>
      <c r="E67" s="14">
        <v>0.45938961008366175</v>
      </c>
      <c r="F67" s="14">
        <v>0.25621968682112084</v>
      </c>
      <c r="G67" s="14">
        <v>0.30499037325136613</v>
      </c>
      <c r="H67" s="14">
        <v>0.26914767136320605</v>
      </c>
      <c r="I67" s="14">
        <v>0.10885728597855726</v>
      </c>
      <c r="J67" s="14">
        <v>0.14891371984193658</v>
      </c>
      <c r="K67" s="14">
        <v>0.11840027593423197</v>
      </c>
      <c r="L67" s="14">
        <v>8.0118613117463156E-2</v>
      </c>
      <c r="M67" s="14">
        <v>8.3785079538683083E-2</v>
      </c>
      <c r="N67" s="14">
        <v>7.6462003331650652E-2</v>
      </c>
      <c r="O67" s="14">
        <v>6.7921790522714076E-2</v>
      </c>
      <c r="P67" s="14">
        <v>5.6784767296237604E-2</v>
      </c>
      <c r="Q67" s="14">
        <v>5.587685608696491E-2</v>
      </c>
      <c r="R67" s="14">
        <v>3.5515823478083519E-2</v>
      </c>
      <c r="S67" s="14">
        <v>4.8945167466014072E-2</v>
      </c>
      <c r="T67" s="14">
        <v>5.0175283388745773E-2</v>
      </c>
      <c r="U67" s="14">
        <v>2.3538521677519575E-2</v>
      </c>
      <c r="V67" s="14">
        <v>3.0064681324642906E-2</v>
      </c>
      <c r="W67" s="14">
        <v>2.1106691627557572E-2</v>
      </c>
      <c r="X67" s="14">
        <v>1.0692133938264015E-2</v>
      </c>
      <c r="Y67" s="14">
        <v>8.0138449860385763E-3</v>
      </c>
      <c r="Z67" s="14">
        <v>2.0164575476206981E-3</v>
      </c>
      <c r="AA67" s="14">
        <v>2.7999451682940713E-3</v>
      </c>
      <c r="AB67" s="14">
        <v>1.5993087172320175E-3</v>
      </c>
      <c r="AC67" s="14">
        <v>1.0662305176140641E-3</v>
      </c>
      <c r="AD67" s="14">
        <v>4.0229305398587489E-3</v>
      </c>
      <c r="AE67" s="14">
        <v>1.4350312806988841E-3</v>
      </c>
      <c r="AF67">
        <v>0</v>
      </c>
      <c r="AG67">
        <v>3.0354614161608451E-3</v>
      </c>
      <c r="AH67">
        <v>8.9351581269281333E-4</v>
      </c>
      <c r="AI67">
        <v>1.6447484329221718E-3</v>
      </c>
      <c r="AJ67">
        <v>0</v>
      </c>
      <c r="AK67">
        <v>2.7792866143832029E-3</v>
      </c>
      <c r="AL67">
        <v>0</v>
      </c>
      <c r="AM67">
        <v>0</v>
      </c>
      <c r="AN67">
        <v>5.3621960136081004E-3</v>
      </c>
      <c r="AO67">
        <v>7.432289996400776E-4</v>
      </c>
      <c r="AP67">
        <v>0</v>
      </c>
    </row>
    <row r="68" spans="1:42" x14ac:dyDescent="0.2">
      <c r="A68">
        <v>-0.28581099999999998</v>
      </c>
      <c r="B68">
        <v>5.4255514182529607E-3</v>
      </c>
      <c r="C68" s="14">
        <v>0.48413988175960376</v>
      </c>
      <c r="D68" s="14">
        <v>0.31570145550155737</v>
      </c>
      <c r="E68" s="14">
        <v>0.39485287545925729</v>
      </c>
      <c r="F68" s="14">
        <v>0.21063774170965144</v>
      </c>
      <c r="G68" s="14">
        <v>0.24933455757714407</v>
      </c>
      <c r="H68" s="14">
        <v>0.25217366119583207</v>
      </c>
      <c r="I68" s="14">
        <v>9.6938214007584844E-2</v>
      </c>
      <c r="J68" s="14">
        <v>0.10907510766427253</v>
      </c>
      <c r="K68" s="14">
        <v>8.9582724050182416E-2</v>
      </c>
      <c r="L68" s="14">
        <v>7.6488848420717126E-2</v>
      </c>
      <c r="M68" s="14">
        <v>7.2339849022094893E-2</v>
      </c>
      <c r="N68" s="14">
        <v>5.7194871668344915E-2</v>
      </c>
      <c r="O68" s="14">
        <v>6.2453529477267677E-2</v>
      </c>
      <c r="P68" s="14">
        <v>4.8871232695653966E-2</v>
      </c>
      <c r="Q68" s="14">
        <v>5.1446143906510033E-2</v>
      </c>
      <c r="R68" s="14">
        <v>3.2507887476604658E-2</v>
      </c>
      <c r="S68" s="14">
        <v>4.4242524841543451E-2</v>
      </c>
      <c r="T68" s="14">
        <v>3.7874544173645552E-2</v>
      </c>
      <c r="U68" s="14">
        <v>2.6370128322471098E-2</v>
      </c>
      <c r="V68" s="14">
        <v>1.8164238675349109E-2</v>
      </c>
      <c r="W68" s="14">
        <v>1.6719462218533709E-2</v>
      </c>
      <c r="X68" s="14">
        <v>1.2514083453036895E-2</v>
      </c>
      <c r="Y68" s="14">
        <v>1.0196905013958757E-2</v>
      </c>
      <c r="Z68" s="14">
        <v>4.7019710238040968E-3</v>
      </c>
      <c r="AA68" s="14">
        <v>5.5560548317037384E-3</v>
      </c>
      <c r="AB68" s="14">
        <v>4.941091282766763E-3</v>
      </c>
      <c r="AC68" s="14">
        <v>0</v>
      </c>
      <c r="AD68" s="14">
        <v>4.7581170791869964E-3</v>
      </c>
      <c r="AE68" s="14">
        <v>6.7316353859675493E-3</v>
      </c>
      <c r="AF68">
        <v>1.2674926310203283E-3</v>
      </c>
      <c r="AG68">
        <v>6.7170385838359881E-3</v>
      </c>
      <c r="AH68">
        <v>1.8053730761918851E-3</v>
      </c>
      <c r="AI68">
        <v>5.0850162729574322E-3</v>
      </c>
      <c r="AJ68">
        <v>3.6260073305727225E-4</v>
      </c>
      <c r="AK68">
        <v>6.8297031926302099E-3</v>
      </c>
      <c r="AL68">
        <v>1.5538535207038073E-4</v>
      </c>
      <c r="AM68">
        <v>4.1772646814386416E-4</v>
      </c>
      <c r="AN68">
        <v>1.1000114037166275E-3</v>
      </c>
      <c r="AO68">
        <v>1.895710342936674E-3</v>
      </c>
      <c r="AP68">
        <v>8.2767858656973559E-4</v>
      </c>
    </row>
    <row r="69" spans="1:42" x14ac:dyDescent="0.2">
      <c r="A69">
        <v>-0.280976</v>
      </c>
      <c r="B69">
        <v>8.1788709196102816E-3</v>
      </c>
      <c r="C69" s="14">
        <v>0.37562672717687595</v>
      </c>
      <c r="D69" s="14">
        <v>0.25912431602014441</v>
      </c>
      <c r="E69" s="14">
        <v>0.33556428740617927</v>
      </c>
      <c r="F69" s="14">
        <v>0.18080336627258697</v>
      </c>
      <c r="G69" s="14">
        <v>0.18580240418934402</v>
      </c>
      <c r="H69" s="14">
        <v>0.22207427572144933</v>
      </c>
      <c r="I69" s="14">
        <v>8.1517987998580232E-2</v>
      </c>
      <c r="J69" s="14">
        <v>7.6673415174934756E-2</v>
      </c>
      <c r="K69" s="14">
        <v>7.0390074678953751E-2</v>
      </c>
      <c r="L69" s="14">
        <v>6.9796205883751905E-2</v>
      </c>
      <c r="M69" s="14">
        <v>5.9581818718616453E-2</v>
      </c>
      <c r="N69" s="14">
        <v>5.3238929445002858E-2</v>
      </c>
      <c r="O69" s="14">
        <v>5.0640589825751148E-2</v>
      </c>
      <c r="P69" s="14">
        <v>4.9050982324735704E-2</v>
      </c>
      <c r="Q69" s="14">
        <v>4.6140809871677568E-2</v>
      </c>
      <c r="R69" s="14">
        <v>2.6875400810998873E-2</v>
      </c>
      <c r="S69" s="14">
        <v>3.2101226229195534E-2</v>
      </c>
      <c r="T69" s="14">
        <v>2.9511227361230408E-2</v>
      </c>
      <c r="U69" s="14">
        <v>2.3732149440821027E-2</v>
      </c>
      <c r="V69" s="14">
        <v>1.1513226225114304E-2</v>
      </c>
      <c r="W69" s="14">
        <v>1.1894692534367091E-2</v>
      </c>
      <c r="X69" s="14">
        <v>1.4772520571301351E-2</v>
      </c>
      <c r="Y69" s="14">
        <v>1.0629468337985615E-2</v>
      </c>
      <c r="Z69" s="14">
        <v>3.8869744682512586E-3</v>
      </c>
      <c r="AA69" s="14">
        <v>5.687684943900817E-3</v>
      </c>
      <c r="AB69" s="14">
        <v>8.4536376092225751E-4</v>
      </c>
      <c r="AC69" s="14">
        <v>0</v>
      </c>
      <c r="AD69" s="14">
        <v>3.5238802962366256E-3</v>
      </c>
      <c r="AE69" s="14">
        <v>6.1208229064335651E-3</v>
      </c>
      <c r="AF69">
        <v>3.8028631318405282E-3</v>
      </c>
      <c r="AG69">
        <v>6.0220128612779034E-3</v>
      </c>
      <c r="AH69">
        <v>9.9346799142850939E-3</v>
      </c>
      <c r="AI69">
        <v>7.3227309145146302E-3</v>
      </c>
      <c r="AJ69">
        <v>2.0713356562714891E-3</v>
      </c>
      <c r="AK69">
        <v>5.8485545092364921E-3</v>
      </c>
      <c r="AL69">
        <v>4.4026395610284874E-3</v>
      </c>
      <c r="AM69">
        <v>3.5486900634604801E-3</v>
      </c>
      <c r="AN69">
        <v>4.0551710347527248E-3</v>
      </c>
      <c r="AO69">
        <v>1.4068630093633239E-3</v>
      </c>
      <c r="AP69">
        <v>3.8225803508646905E-3</v>
      </c>
    </row>
    <row r="70" spans="1:42" x14ac:dyDescent="0.2">
      <c r="A70">
        <v>-0.27614099999999997</v>
      </c>
      <c r="B70">
        <v>8.9642192372180185E-3</v>
      </c>
      <c r="C70" s="14">
        <v>0.31261279845863865</v>
      </c>
      <c r="D70" s="14">
        <v>0.21917141043757371</v>
      </c>
      <c r="E70" s="14">
        <v>0.29333893104981446</v>
      </c>
      <c r="F70" s="14">
        <v>0.16146916962628444</v>
      </c>
      <c r="G70" s="14">
        <v>0.13933341801604537</v>
      </c>
      <c r="H70" s="14">
        <v>0.17709906216153259</v>
      </c>
      <c r="I70" s="14">
        <v>5.7785906244351093E-2</v>
      </c>
      <c r="J70" s="14">
        <v>5.5209857724674238E-2</v>
      </c>
      <c r="K70" s="14">
        <v>6.0821562493646786E-2</v>
      </c>
      <c r="L70" s="14">
        <v>5.5884673076814662E-2</v>
      </c>
      <c r="M70" s="14">
        <v>5.1198888388515718E-2</v>
      </c>
      <c r="N70" s="14">
        <v>4.5783088541665351E-2</v>
      </c>
      <c r="O70" s="14">
        <v>3.75157349999935E-2</v>
      </c>
      <c r="P70" s="14">
        <v>3.326182142512224E-2</v>
      </c>
      <c r="Q70" s="14">
        <v>2.639755356865281E-2</v>
      </c>
      <c r="R70" s="14">
        <v>1.577398698991983E-2</v>
      </c>
      <c r="S70" s="14">
        <v>1.9524009615332627E-2</v>
      </c>
      <c r="T70" s="14">
        <v>3.2522982748514728E-2</v>
      </c>
      <c r="U70" s="14">
        <v>1.9563243749996406E-2</v>
      </c>
      <c r="V70" s="14">
        <v>1.2518284999997187E-2</v>
      </c>
      <c r="W70" s="14">
        <v>1.2537990384593412E-2</v>
      </c>
      <c r="X70" s="14">
        <v>1.5063021739129379E-2</v>
      </c>
      <c r="Y70" s="14">
        <v>5.3750937499992268E-3</v>
      </c>
      <c r="Z70" s="14">
        <v>1.1030416666654164E-3</v>
      </c>
      <c r="AA70" s="14">
        <v>2.5373749999996198E-3</v>
      </c>
      <c r="AB70" s="14">
        <v>0</v>
      </c>
      <c r="AC70" s="14">
        <v>1.6136249999999519E-3</v>
      </c>
      <c r="AD70" s="14">
        <v>0</v>
      </c>
      <c r="AE70" s="14">
        <v>0</v>
      </c>
      <c r="AF70">
        <v>3.0563104778132955E-3</v>
      </c>
      <c r="AG70">
        <v>6.8590624999991245E-3</v>
      </c>
      <c r="AH70">
        <v>5.5960555555539804E-3</v>
      </c>
      <c r="AI70">
        <v>8.466514705881556E-3</v>
      </c>
      <c r="AJ70">
        <v>5.0921288973483358E-3</v>
      </c>
      <c r="AK70">
        <v>3.1184776472928943E-3</v>
      </c>
      <c r="AL70">
        <v>6.4619583318844542E-3</v>
      </c>
      <c r="AM70">
        <v>2.5237148263984599E-3</v>
      </c>
      <c r="AN70">
        <v>5.9716635086610736E-3</v>
      </c>
      <c r="AO70">
        <v>3.1050567605151458E-3</v>
      </c>
      <c r="AP70">
        <v>7.0905390412651093E-3</v>
      </c>
    </row>
    <row r="71" spans="1:42" x14ac:dyDescent="0.2">
      <c r="A71">
        <v>-0.27130599999999999</v>
      </c>
      <c r="B71">
        <v>1.0077596371076247E-2</v>
      </c>
      <c r="C71" s="14">
        <v>0.2600990956048912</v>
      </c>
      <c r="D71" s="14">
        <v>0.18446873875384517</v>
      </c>
      <c r="E71" s="14">
        <v>0.23273880639016209</v>
      </c>
      <c r="F71" s="14">
        <v>0.12551015177074409</v>
      </c>
      <c r="G71" s="14">
        <v>0.10161459905724801</v>
      </c>
      <c r="H71" s="14">
        <v>0.12556202051608123</v>
      </c>
      <c r="I71" s="14">
        <v>4.2803968744897336E-2</v>
      </c>
      <c r="J71" s="14">
        <v>5.0371435313491086E-2</v>
      </c>
      <c r="K71" s="14">
        <v>4.906518749426092E-2</v>
      </c>
      <c r="L71" s="14">
        <v>3.8035249999905152E-2</v>
      </c>
      <c r="M71" s="14">
        <v>4.0629058031792509E-2</v>
      </c>
      <c r="N71" s="14">
        <v>3.7889348958332292E-2</v>
      </c>
      <c r="O71" s="14">
        <v>5.3483964999994638E-2</v>
      </c>
      <c r="P71" s="14">
        <v>2.8628749996813307E-2</v>
      </c>
      <c r="Q71" s="14">
        <v>8.6233749974354845E-3</v>
      </c>
      <c r="R71" s="14">
        <v>6.2036460133674809E-3</v>
      </c>
      <c r="S71" s="14">
        <v>1.263287499995458E-2</v>
      </c>
      <c r="T71" s="14">
        <v>3.0065810335498655E-2</v>
      </c>
      <c r="U71" s="14">
        <v>1.0363411249996846E-2</v>
      </c>
      <c r="V71" s="14">
        <v>1.4179414999997642E-2</v>
      </c>
      <c r="W71" s="14">
        <v>1.0994355769212649E-2</v>
      </c>
      <c r="X71" s="14">
        <v>8.3525869565209687E-3</v>
      </c>
      <c r="Y71" s="14">
        <v>2.3087812499994476E-3</v>
      </c>
      <c r="Z71" s="14">
        <v>3.7881726190468479E-3</v>
      </c>
      <c r="AA71" s="14">
        <v>0</v>
      </c>
      <c r="AB71" s="14">
        <v>2.2967500000000696E-3</v>
      </c>
      <c r="AC71" s="14">
        <v>8.3398749999999411E-3</v>
      </c>
      <c r="AD71" s="14">
        <v>0</v>
      </c>
      <c r="AE71" s="14">
        <v>1.180354166666675E-3</v>
      </c>
      <c r="AF71">
        <v>7.1228346689387045E-3</v>
      </c>
      <c r="AG71">
        <v>4.1961874999992821E-3</v>
      </c>
      <c r="AH71">
        <v>3.0074999999987195E-3</v>
      </c>
      <c r="AI71">
        <v>9.0633676470582847E-3</v>
      </c>
      <c r="AJ71">
        <v>2.9729804562875772E-3</v>
      </c>
      <c r="AK71">
        <v>6.0744726067993859E-3</v>
      </c>
      <c r="AL71">
        <v>2.3973416646382306E-3</v>
      </c>
      <c r="AM71">
        <v>8.2808007569578068E-3</v>
      </c>
      <c r="AN71">
        <v>7.1227388254415658E-3</v>
      </c>
      <c r="AO71">
        <v>3.9287915963919784E-3</v>
      </c>
      <c r="AP71">
        <v>8.1995546577711131E-3</v>
      </c>
    </row>
    <row r="72" spans="1:42" x14ac:dyDescent="0.2">
      <c r="A72">
        <v>-0.26647100000000001</v>
      </c>
      <c r="B72">
        <v>7.3629447590149444E-3</v>
      </c>
      <c r="C72" s="14">
        <v>0.22639816691601045</v>
      </c>
      <c r="D72" s="14">
        <v>0.13926583318827812</v>
      </c>
      <c r="E72" s="14">
        <v>0.16907545006405345</v>
      </c>
      <c r="F72" s="14">
        <v>8.9988955124540748E-2</v>
      </c>
      <c r="G72" s="14">
        <v>8.7082612884442301E-2</v>
      </c>
      <c r="H72" s="14">
        <v>0.10421180695796162</v>
      </c>
      <c r="I72" s="14">
        <v>1.8195886990701959E-2</v>
      </c>
      <c r="J72" s="14">
        <v>3.8531877863422048E-2</v>
      </c>
      <c r="K72" s="14">
        <v>4.7809675308991939E-2</v>
      </c>
      <c r="L72" s="14">
        <v>3.1123717192968581E-2</v>
      </c>
      <c r="M72" s="14">
        <v>3.815212770171772E-2</v>
      </c>
      <c r="N72" s="14">
        <v>2.080850805499479E-2</v>
      </c>
      <c r="O72" s="14">
        <v>2.5703110174237098E-2</v>
      </c>
      <c r="P72" s="14">
        <v>2.6402589097220597E-2</v>
      </c>
      <c r="Q72" s="14">
        <v>9.0051186944275496E-3</v>
      </c>
      <c r="R72" s="14">
        <v>3.5123936291453495E-4</v>
      </c>
      <c r="S72" s="14">
        <v>1.3179658386091919E-2</v>
      </c>
      <c r="T72" s="14">
        <v>2.4327565722839894E-2</v>
      </c>
      <c r="U72" s="14">
        <v>5.7565055591720649E-3</v>
      </c>
      <c r="V72" s="14">
        <v>1.4965473774880556E-2</v>
      </c>
      <c r="W72" s="14">
        <v>6.1686536194390795E-3</v>
      </c>
      <c r="X72" s="14">
        <v>2.7370881243489742E-3</v>
      </c>
      <c r="Y72" s="14">
        <v>1.1640666201301331E-4</v>
      </c>
      <c r="Z72" s="14">
        <v>0</v>
      </c>
      <c r="AA72" s="14">
        <v>9.1346804516478919E-4</v>
      </c>
      <c r="AB72" s="14">
        <v>0</v>
      </c>
      <c r="AC72" s="14">
        <v>7.1910811747065151E-3</v>
      </c>
      <c r="AD72" s="14">
        <v>7.1337093977297261E-4</v>
      </c>
      <c r="AE72" s="14">
        <v>0</v>
      </c>
      <c r="AF72">
        <v>7.0322820149363308E-3</v>
      </c>
      <c r="AG72">
        <v>9.8623713872048047E-4</v>
      </c>
      <c r="AH72">
        <v>4.5758756412676016E-3</v>
      </c>
      <c r="AI72">
        <v>4.4091514384251296E-3</v>
      </c>
      <c r="AJ72">
        <v>1.7287736973987666E-3</v>
      </c>
      <c r="AK72">
        <v>5.9693978628158062E-3</v>
      </c>
      <c r="AL72">
        <v>2.9256604355004656E-3</v>
      </c>
      <c r="AM72">
        <v>4.3028255199626386E-3</v>
      </c>
      <c r="AN72">
        <v>1.1608982900671805E-2</v>
      </c>
      <c r="AO72">
        <v>5.0804853478335632E-3</v>
      </c>
      <c r="AP72">
        <v>7.666513348253523E-3</v>
      </c>
    </row>
    <row r="73" spans="1:42" x14ac:dyDescent="0.2">
      <c r="A73">
        <v>-0.26163599999999998</v>
      </c>
      <c r="B73">
        <v>5.6322644010342038E-3</v>
      </c>
      <c r="C73" s="14">
        <v>0.18044701239199579</v>
      </c>
      <c r="D73" s="14">
        <v>9.9750693740872753E-2</v>
      </c>
      <c r="E73" s="14">
        <v>0.12466186207148855</v>
      </c>
      <c r="F73" s="14">
        <v>5.1841579687674666E-2</v>
      </c>
      <c r="G73" s="14">
        <v>9.5081459497628473E-2</v>
      </c>
      <c r="H73" s="14">
        <v>7.848642148717333E-2</v>
      </c>
      <c r="I73" s="14">
        <v>1.1088660981765086E-2</v>
      </c>
      <c r="J73" s="14">
        <v>4.9880185374467145E-2</v>
      </c>
      <c r="K73" s="14">
        <v>2.621002593783972E-2</v>
      </c>
      <c r="L73" s="14">
        <v>3.6243074656004848E-2</v>
      </c>
      <c r="M73" s="14">
        <v>2.2113097398291259E-2</v>
      </c>
      <c r="N73" s="14">
        <v>2.8525658316527203E-3</v>
      </c>
      <c r="O73" s="14">
        <v>2.5047170522720763E-2</v>
      </c>
      <c r="P73" s="14">
        <v>3.2925338726344178E-2</v>
      </c>
      <c r="Q73" s="14">
        <v>8.730784659628843E-3</v>
      </c>
      <c r="R73" s="14">
        <v>6.3127670385610957E-3</v>
      </c>
      <c r="S73" s="14">
        <v>1.2414359773744721E-2</v>
      </c>
      <c r="T73" s="14">
        <v>1.1807248910538692E-2</v>
      </c>
      <c r="U73" s="14">
        <v>2.9005266775221639E-3</v>
      </c>
      <c r="V73" s="14">
        <v>9.1894613246457091E-3</v>
      </c>
      <c r="W73" s="14">
        <v>4.8438839352727969E-3</v>
      </c>
      <c r="X73" s="14">
        <v>0</v>
      </c>
      <c r="Y73" s="14">
        <v>0</v>
      </c>
      <c r="Z73" s="14">
        <v>0</v>
      </c>
      <c r="AA73" s="14">
        <v>1.3240404135494654E-2</v>
      </c>
      <c r="AB73" s="14">
        <v>7.7929315065972116E-4</v>
      </c>
      <c r="AC73" s="14">
        <v>2.7612435241197164E-3</v>
      </c>
      <c r="AD73" s="14">
        <v>7.1711281931896576E-4</v>
      </c>
      <c r="AE73" s="14">
        <v>4.4292958382544101E-3</v>
      </c>
      <c r="AF73">
        <v>3.8796525158063533E-3</v>
      </c>
      <c r="AG73">
        <v>2.3702114161624488E-3</v>
      </c>
      <c r="AH73">
        <v>4.174182479360744E-3</v>
      </c>
      <c r="AI73">
        <v>2.5998660799824158E-3</v>
      </c>
      <c r="AJ73">
        <v>0</v>
      </c>
      <c r="AK73">
        <v>8.7072534153418424E-3</v>
      </c>
      <c r="AL73">
        <v>2.5246646444713194E-3</v>
      </c>
      <c r="AM73">
        <v>2.8407891154128562E-3</v>
      </c>
      <c r="AN73">
        <v>5.8141457343520164E-3</v>
      </c>
      <c r="AO73">
        <v>6.1226380148398651E-3</v>
      </c>
      <c r="AP73">
        <v>3.7434151127120341E-3</v>
      </c>
    </row>
    <row r="74" spans="1:42" x14ac:dyDescent="0.2">
      <c r="A74">
        <v>-0.25679999999999997</v>
      </c>
      <c r="B74">
        <v>7.5938143457940366E-3</v>
      </c>
      <c r="C74" s="14">
        <v>0.12837266467384012</v>
      </c>
      <c r="D74" s="14">
        <v>6.6799425419549752E-2</v>
      </c>
      <c r="E74" s="14">
        <v>9.33761275375804E-2</v>
      </c>
      <c r="F74" s="14">
        <v>3.1633634576501923E-2</v>
      </c>
      <c r="G74" s="14">
        <v>6.8519643824879961E-2</v>
      </c>
      <c r="H74" s="14">
        <v>6.7200411325172515E-2</v>
      </c>
      <c r="I74" s="14">
        <v>3.5445890108937173E-3</v>
      </c>
      <c r="J74" s="14">
        <v>2.9948573197375539E-2</v>
      </c>
      <c r="K74" s="14">
        <v>9.4234740539037576E-3</v>
      </c>
      <c r="L74" s="14">
        <v>2.7582309959261142E-2</v>
      </c>
      <c r="M74" s="14">
        <v>1.5699866881780933E-2</v>
      </c>
      <c r="N74" s="14">
        <v>0</v>
      </c>
      <c r="O74" s="14">
        <v>2.1109909477274424E-2</v>
      </c>
      <c r="P74" s="14">
        <v>1.9543804125822906E-2</v>
      </c>
      <c r="Q74" s="14">
        <v>8.2380724792241455E-3</v>
      </c>
      <c r="R74" s="14">
        <v>3.5238525239333907E-3</v>
      </c>
      <c r="S74" s="14">
        <v>8.1487171492752308E-3</v>
      </c>
      <c r="T74" s="14">
        <v>0</v>
      </c>
      <c r="U74" s="14">
        <v>3.5441333224738303E-3</v>
      </c>
      <c r="V74" s="14">
        <v>3.5101867535203279E-4</v>
      </c>
      <c r="W74" s="14">
        <v>0</v>
      </c>
      <c r="X74" s="14">
        <v>9.3340212501913378E-4</v>
      </c>
      <c r="Y74" s="14">
        <v>1.3792151388225538E-4</v>
      </c>
      <c r="Z74" s="14">
        <v>5.438952970372446E-4</v>
      </c>
      <c r="AA74" s="14">
        <v>7.1916727875803721E-3</v>
      </c>
      <c r="AB74" s="14">
        <v>4.2382223395387442E-4</v>
      </c>
      <c r="AC74" s="14">
        <v>0</v>
      </c>
      <c r="AD74" s="14">
        <v>7.2119487298694107E-4</v>
      </c>
      <c r="AE74" s="14">
        <v>0</v>
      </c>
      <c r="AF74">
        <v>1.82163777793376E-3</v>
      </c>
      <c r="AG74">
        <v>0</v>
      </c>
      <c r="AH74">
        <v>0</v>
      </c>
      <c r="AI74">
        <v>0</v>
      </c>
      <c r="AJ74">
        <v>1.7567100869160246E-3</v>
      </c>
      <c r="AK74">
        <v>4.8826763384598459E-3</v>
      </c>
      <c r="AL74">
        <v>1.1396853486344005E-3</v>
      </c>
      <c r="AM74">
        <v>4.5512420519341346E-3</v>
      </c>
      <c r="AN74">
        <v>6.5829659212565117E-3</v>
      </c>
      <c r="AO74">
        <v>4.2121193589453321E-3</v>
      </c>
      <c r="AP74">
        <v>2.5557722861374588E-3</v>
      </c>
    </row>
    <row r="75" spans="1:42" x14ac:dyDescent="0.2">
      <c r="A75">
        <v>-0.25196499999999999</v>
      </c>
      <c r="B75">
        <v>7.9691340680897449E-3</v>
      </c>
      <c r="C75" s="14">
        <v>8.6795510174991208E-2</v>
      </c>
      <c r="D75" s="14">
        <v>5.0909285986228681E-2</v>
      </c>
      <c r="E75" s="14">
        <v>7.8274539570076795E-2</v>
      </c>
      <c r="F75" s="14">
        <v>2.4550259139703767E-2</v>
      </c>
      <c r="G75" s="14">
        <v>4.0206490438435494E-2</v>
      </c>
      <c r="H75" s="14">
        <v>5.9412025855814288E-2</v>
      </c>
      <c r="I75" s="14">
        <v>6.0613630019799025E-3</v>
      </c>
      <c r="J75" s="14">
        <v>1.1109880708564113E-2</v>
      </c>
      <c r="K75" s="14">
        <v>1.2104824682777404E-2</v>
      </c>
      <c r="L75" s="14">
        <v>1.8045667422297851E-2</v>
      </c>
      <c r="M75" s="14">
        <v>1.8035836578372044E-2</v>
      </c>
      <c r="N75" s="14">
        <v>2.6386930958411936E-3</v>
      </c>
      <c r="O75" s="14">
        <v>2.9529698257582115E-3</v>
      </c>
      <c r="P75" s="14">
        <v>6.8165537549621513E-3</v>
      </c>
      <c r="Q75" s="14">
        <v>9.712738444437985E-3</v>
      </c>
      <c r="R75" s="14">
        <v>1.8453387429666013E-2</v>
      </c>
      <c r="S75" s="14">
        <v>2.1334185369282777E-3</v>
      </c>
      <c r="T75" s="14">
        <v>2.3001928833505381E-3</v>
      </c>
      <c r="U75" s="14">
        <v>6.1571544408238754E-3</v>
      </c>
      <c r="V75" s="14">
        <v>0</v>
      </c>
      <c r="W75" s="14">
        <v>0</v>
      </c>
      <c r="X75" s="14">
        <v>7.3937750673134239E-3</v>
      </c>
      <c r="Y75" s="14">
        <v>9.6013456328320479E-3</v>
      </c>
      <c r="Z75" s="14">
        <v>2.7263250990119392E-3</v>
      </c>
      <c r="AA75" s="14">
        <v>1.1436088779102072E-3</v>
      </c>
      <c r="AB75" s="14">
        <v>2.9120176677268628E-3</v>
      </c>
      <c r="AC75" s="14">
        <v>3.2778838074944416E-3</v>
      </c>
      <c r="AD75" s="14">
        <v>2.1479367525329418E-3</v>
      </c>
      <c r="AE75" s="14">
        <v>2.8986962590415999E-3</v>
      </c>
      <c r="AF75">
        <v>9.1690082788778993E-3</v>
      </c>
      <c r="AG75">
        <v>1.2941289771608577E-3</v>
      </c>
      <c r="AH75">
        <v>9.1346580953333145E-5</v>
      </c>
      <c r="AI75">
        <v>4.9626127350665961E-3</v>
      </c>
      <c r="AJ75">
        <v>1.7154450103011865E-3</v>
      </c>
      <c r="AK75">
        <v>6.3085341164860198E-3</v>
      </c>
      <c r="AL75">
        <v>3.6369395576241192E-3</v>
      </c>
      <c r="AM75">
        <v>1.3392056475838299E-3</v>
      </c>
      <c r="AN75">
        <v>1.0413130467097909E-2</v>
      </c>
      <c r="AO75">
        <v>4.2720264096796079E-6</v>
      </c>
      <c r="AP75">
        <v>7.6006740508400839E-3</v>
      </c>
    </row>
    <row r="76" spans="1:42" x14ac:dyDescent="0.2">
      <c r="A76">
        <v>-0.24712999999999999</v>
      </c>
      <c r="B76">
        <v>9.4104826163272093E-3</v>
      </c>
      <c r="C76" s="14">
        <v>6.7094581536322306E-2</v>
      </c>
      <c r="D76" s="14">
        <v>4.5081380448763309E-2</v>
      </c>
      <c r="E76" s="14">
        <v>6.4049183293972245E-2</v>
      </c>
      <c r="F76" s="14">
        <v>3.9122062493635812E-2</v>
      </c>
      <c r="G76" s="14">
        <v>2.9174504266366474E-2</v>
      </c>
      <c r="H76" s="14">
        <v>4.3749812300546753E-2</v>
      </c>
      <c r="I76" s="14">
        <v>1.5579281247830812E-2</v>
      </c>
      <c r="J76" s="14">
        <v>1.3051323258781222E-2</v>
      </c>
      <c r="K76" s="14">
        <v>1.0849312497560271E-2</v>
      </c>
      <c r="L76" s="14">
        <v>7.6331346153621915E-3</v>
      </c>
      <c r="M76" s="14">
        <v>1.5995906248332692E-2</v>
      </c>
      <c r="N76" s="14">
        <v>5.2727083333331537E-3</v>
      </c>
      <c r="O76" s="14">
        <v>0</v>
      </c>
      <c r="P76" s="14">
        <v>6.5593928554007475E-3</v>
      </c>
      <c r="Q76" s="14">
        <v>8.4544821414552218E-3</v>
      </c>
      <c r="R76" s="14">
        <v>1.0741995225087841E-2</v>
      </c>
      <c r="S76" s="14">
        <v>5.5201923066072744E-5</v>
      </c>
      <c r="T76" s="14">
        <v>7.0609482707770233E-3</v>
      </c>
      <c r="U76" s="14">
        <v>4.8312487499992396E-3</v>
      </c>
      <c r="V76" s="14">
        <v>7.1449519230748493E-4</v>
      </c>
      <c r="W76" s="14">
        <v>3.586538043478138E-3</v>
      </c>
      <c r="X76" s="14">
        <v>7.0732019230757559E-3</v>
      </c>
      <c r="Y76" s="14">
        <v>5.0638221153837537E-3</v>
      </c>
      <c r="Z76" s="14">
        <v>5.345799999999179E-3</v>
      </c>
      <c r="AA76" s="14">
        <v>0</v>
      </c>
      <c r="AB76" s="14">
        <v>1.0252548076902235E-3</v>
      </c>
      <c r="AC76" s="14">
        <v>9.5454008617769648E-3</v>
      </c>
      <c r="AD76" s="14">
        <v>4.3392211538442749E-3</v>
      </c>
      <c r="AE76" s="14">
        <v>2.3512692307671723E-3</v>
      </c>
      <c r="AF76">
        <v>7.1104556250234374E-3</v>
      </c>
      <c r="AG76">
        <v>7.8814482754779869E-3</v>
      </c>
      <c r="AH76">
        <v>0</v>
      </c>
      <c r="AI76">
        <v>1.0603586206476834E-2</v>
      </c>
      <c r="AJ76">
        <v>7.9923825161631878E-4</v>
      </c>
      <c r="AK76">
        <v>7.5144638182528256E-3</v>
      </c>
      <c r="AL76">
        <v>4.0560083285241522E-3</v>
      </c>
      <c r="AM76">
        <v>3.9242304109863291E-3</v>
      </c>
      <c r="AN76">
        <v>1.2494377962419811E-2</v>
      </c>
      <c r="AO76">
        <v>3.3434657787652089E-3</v>
      </c>
      <c r="AP76">
        <v>1.1115632741809156E-2</v>
      </c>
    </row>
    <row r="77" spans="1:42" x14ac:dyDescent="0.2">
      <c r="A77">
        <v>-0.24229499999999998</v>
      </c>
      <c r="B77">
        <v>9.7578599905064345E-3</v>
      </c>
      <c r="C77" s="14">
        <v>5.6580878757833242E-2</v>
      </c>
      <c r="D77" s="14">
        <v>3.2253708807153725E-2</v>
      </c>
      <c r="E77" s="14">
        <v>4.3699058709266492E-2</v>
      </c>
      <c r="F77" s="14">
        <v>3.094404463829814E-2</v>
      </c>
      <c r="G77" s="14">
        <v>2.2736685308673232E-2</v>
      </c>
      <c r="H77" s="14">
        <v>2.2836770659370065E-2</v>
      </c>
      <c r="I77" s="14">
        <v>8.2533437484459959E-3</v>
      </c>
      <c r="J77" s="14">
        <v>8.6499008480268591E-3</v>
      </c>
      <c r="K77" s="14">
        <v>1.6155937498252282E-2</v>
      </c>
      <c r="L77" s="14">
        <v>0</v>
      </c>
      <c r="M77" s="14">
        <v>1.5051075891662768E-2</v>
      </c>
      <c r="N77" s="14">
        <v>2.164791666666388E-3</v>
      </c>
      <c r="O77" s="14">
        <v>6.4038949999996042E-3</v>
      </c>
      <c r="P77" s="14">
        <v>9.8013214271387428E-3</v>
      </c>
      <c r="Q77" s="14">
        <v>8.5083035702755994E-3</v>
      </c>
      <c r="R77" s="14">
        <v>1.0578675910198843E-2</v>
      </c>
      <c r="S77" s="14">
        <v>0</v>
      </c>
      <c r="T77" s="14">
        <v>1.2478775857888535E-2</v>
      </c>
      <c r="U77" s="14">
        <v>0</v>
      </c>
      <c r="V77" s="14">
        <v>3.1282355769224335E-3</v>
      </c>
      <c r="W77" s="14">
        <v>5.9476141304344865E-3</v>
      </c>
      <c r="X77" s="14">
        <v>4.1276826923060117E-3</v>
      </c>
      <c r="Y77" s="14">
        <v>3.1523509615372647E-3</v>
      </c>
      <c r="Z77" s="14">
        <v>5.3403199999987327E-3</v>
      </c>
      <c r="AA77" s="14">
        <v>1.2976057692282161E-3</v>
      </c>
      <c r="AB77" s="14">
        <v>1.5445336538436605E-3</v>
      </c>
      <c r="AC77" s="14">
        <v>8.5949612064877279E-3</v>
      </c>
      <c r="AD77" s="14">
        <v>6.7495480769207972E-3</v>
      </c>
      <c r="AE77" s="14">
        <v>4.8668846153821499E-3</v>
      </c>
      <c r="AF77">
        <v>8.9889798163702572E-3</v>
      </c>
      <c r="AG77">
        <v>6.5928275856691476E-3</v>
      </c>
      <c r="AH77">
        <v>6.651527173912597E-3</v>
      </c>
      <c r="AI77">
        <v>9.1356206890675917E-3</v>
      </c>
      <c r="AJ77">
        <v>4.3008981086145592E-4</v>
      </c>
      <c r="AK77">
        <v>7.8464654437599979E-3</v>
      </c>
      <c r="AL77">
        <v>5.568641661334417E-3</v>
      </c>
      <c r="AM77">
        <v>6.7548163421418117E-3</v>
      </c>
      <c r="AN77">
        <v>1.5887208407222131E-2</v>
      </c>
      <c r="AO77">
        <v>6.0267006160120706E-3</v>
      </c>
      <c r="AP77">
        <v>7.7396483590448373E-3</v>
      </c>
    </row>
    <row r="78" spans="1:42" x14ac:dyDescent="0.2">
      <c r="A78">
        <v>-0.23745999999999998</v>
      </c>
      <c r="B78">
        <v>9.2312086276655214E-3</v>
      </c>
      <c r="C78" s="14">
        <v>5.2629950139533976E-2</v>
      </c>
      <c r="D78" s="14">
        <v>2.467580328051433E-2</v>
      </c>
      <c r="E78" s="14">
        <v>2.4222702452425526E-2</v>
      </c>
      <c r="F78" s="14">
        <v>2.0359847992264535E-2</v>
      </c>
      <c r="G78" s="14">
        <v>2.5704699136839371E-2</v>
      </c>
      <c r="H78" s="14">
        <v>4.1115571051258959E-3</v>
      </c>
      <c r="I78" s="14">
        <v>3.1142619943085315E-3</v>
      </c>
      <c r="J78" s="14">
        <v>1.7811343398335344E-2</v>
      </c>
      <c r="K78" s="14">
        <v>1.4024425313048261E-2</v>
      </c>
      <c r="L78" s="14">
        <v>1.6792152573117392E-3</v>
      </c>
      <c r="M78" s="14">
        <v>6.0121455616324315E-3</v>
      </c>
      <c r="N78" s="14">
        <v>0</v>
      </c>
      <c r="O78" s="14">
        <v>1.1839752332350351E-2</v>
      </c>
      <c r="P78" s="14">
        <v>1.8512160527587418E-2</v>
      </c>
      <c r="Q78" s="14">
        <v>2.1468047267300894E-2</v>
      </c>
      <c r="R78" s="14">
        <v>1.7523290920940349E-2</v>
      </c>
      <c r="S78" s="14">
        <v>1.2405010756603163E-3</v>
      </c>
      <c r="T78" s="14">
        <v>1.1771531245342248E-2</v>
      </c>
      <c r="U78" s="14">
        <v>1.6435318440531366E-3</v>
      </c>
      <c r="V78" s="14">
        <v>5.9794333579910042E-3</v>
      </c>
      <c r="W78" s="14">
        <v>7.2146291792830053E-3</v>
      </c>
      <c r="X78" s="14">
        <v>0</v>
      </c>
      <c r="Y78" s="14">
        <v>0</v>
      </c>
      <c r="Z78" s="14">
        <v>5.990794900985974E-3</v>
      </c>
      <c r="AA78" s="14">
        <v>6.4055834297775949E-3</v>
      </c>
      <c r="AB78" s="14">
        <v>5.3457707938069365E-3</v>
      </c>
      <c r="AC78" s="14">
        <v>6.5514782607716815E-3</v>
      </c>
      <c r="AD78" s="14">
        <v>7.7383324782320795E-3</v>
      </c>
      <c r="AE78" s="14">
        <v>6.9454575871078506E-3</v>
      </c>
      <c r="AF78">
        <v>1.1086427162624868E-2</v>
      </c>
      <c r="AG78">
        <v>5.6331468839880827E-3</v>
      </c>
      <c r="AH78">
        <v>4.961148214088329E-3</v>
      </c>
      <c r="AI78">
        <v>6.2455941604797616E-3</v>
      </c>
      <c r="AJ78">
        <v>7.2798830523271851E-3</v>
      </c>
      <c r="AK78">
        <v>1.0311147451481872E-2</v>
      </c>
      <c r="AL78">
        <v>5.8789604322622147E-3</v>
      </c>
      <c r="AM78">
        <v>9.7493411058380275E-3</v>
      </c>
      <c r="AN78">
        <v>1.8842957703749663E-2</v>
      </c>
      <c r="AO78">
        <v>7.3968943689836086E-3</v>
      </c>
      <c r="AP78">
        <v>1.1363607050373203E-2</v>
      </c>
    </row>
    <row r="79" spans="1:42" x14ac:dyDescent="0.2">
      <c r="A79">
        <v>-0.232625</v>
      </c>
      <c r="B79">
        <v>9.7975285278044666E-3</v>
      </c>
      <c r="C79" s="14">
        <v>3.4677795681424484E-2</v>
      </c>
      <c r="D79" s="14">
        <v>6.1606638688451731E-3</v>
      </c>
      <c r="E79" s="14">
        <v>1.1747114523449453E-2</v>
      </c>
      <c r="F79" s="14">
        <v>2.7754725555350079E-3</v>
      </c>
      <c r="G79" s="14">
        <v>2.3422545750864887E-2</v>
      </c>
      <c r="H79" s="14">
        <v>1.0761171637814648E-2</v>
      </c>
      <c r="I79" s="14">
        <v>0</v>
      </c>
      <c r="J79" s="14">
        <v>1.822265090970665E-2</v>
      </c>
      <c r="K79" s="14">
        <v>5.3307759419481959E-3</v>
      </c>
      <c r="L79" s="14">
        <v>6.1316457719351458E-3</v>
      </c>
      <c r="M79" s="14">
        <v>0</v>
      </c>
      <c r="N79" s="14">
        <v>9.2475404580916187E-4</v>
      </c>
      <c r="O79" s="14">
        <v>1.8369536997052127E-2</v>
      </c>
      <c r="P79" s="14">
        <v>2.0659910156746619E-2</v>
      </c>
      <c r="Q79" s="14">
        <v>1.9661713232530742E-2</v>
      </c>
      <c r="R79" s="14">
        <v>2.1843840257312397E-2</v>
      </c>
      <c r="S79" s="14">
        <v>8.9715032269808148E-3</v>
      </c>
      <c r="T79" s="14">
        <v>5.3772144331381555E-3</v>
      </c>
      <c r="U79" s="14">
        <v>9.9259553215935714E-4</v>
      </c>
      <c r="V79" s="14">
        <v>6.533338535513078E-3</v>
      </c>
      <c r="W79" s="14">
        <v>5.8575831900237185E-3</v>
      </c>
      <c r="X79" s="14">
        <v>3.923482490362673E-3</v>
      </c>
      <c r="Y79" s="14">
        <v>3.0462515630388376E-3</v>
      </c>
      <c r="Z79" s="14">
        <v>7.2982247029608205E-3</v>
      </c>
      <c r="AA79" s="14">
        <v>1.2388519520107388E-2</v>
      </c>
      <c r="AB79" s="14">
        <v>9.364966227580096E-3</v>
      </c>
      <c r="AC79" s="14">
        <v>7.1319520246287404E-3</v>
      </c>
      <c r="AD79" s="14">
        <v>7.8520743577781271E-3</v>
      </c>
      <c r="AE79" s="14">
        <v>9.4609881459442047E-3</v>
      </c>
      <c r="AF79">
        <v>1.0777797663786837E-2</v>
      </c>
      <c r="AG79">
        <v>6.4234061704349088E-3</v>
      </c>
      <c r="AH79">
        <v>6.3327055118312936E-3</v>
      </c>
      <c r="AI79">
        <v>1.1886506620713555E-2</v>
      </c>
      <c r="AJ79">
        <v>4.5046179760135918E-3</v>
      </c>
      <c r="AK79">
        <v>1.2010259841418347E-2</v>
      </c>
      <c r="AL79">
        <v>1.0345214641307443E-2</v>
      </c>
      <c r="AM79">
        <v>1.2006304702074866E-2</v>
      </c>
      <c r="AN79">
        <v>2.1798125852002137E-2</v>
      </c>
      <c r="AO79">
        <v>6.3610470376796457E-3</v>
      </c>
      <c r="AP79">
        <v>9.4085088157943586E-3</v>
      </c>
    </row>
    <row r="80" spans="1:42" x14ac:dyDescent="0.2">
      <c r="A80">
        <v>-0.22778899999999999</v>
      </c>
      <c r="B80">
        <v>1.0036078738807297E-2</v>
      </c>
      <c r="C80" s="14">
        <v>1.7165448024193952E-2</v>
      </c>
      <c r="D80" s="14">
        <v>0</v>
      </c>
      <c r="E80" s="14">
        <v>6.7103800471589592E-3</v>
      </c>
      <c r="F80" s="14">
        <v>0</v>
      </c>
      <c r="G80" s="14">
        <v>1.5235730078818954E-2</v>
      </c>
      <c r="H80" s="14">
        <v>9.5371614788738457E-3</v>
      </c>
      <c r="I80" s="14">
        <v>1.3850567861019014E-3</v>
      </c>
      <c r="J80" s="14">
        <v>9.6650387328877096E-3</v>
      </c>
      <c r="K80" s="14">
        <v>0</v>
      </c>
      <c r="L80" s="14">
        <v>8.3967708947314534E-3</v>
      </c>
      <c r="M80" s="14">
        <v>2.4340411560932473E-3</v>
      </c>
      <c r="N80" s="14">
        <v>5.2547459541903985E-3</v>
      </c>
      <c r="O80" s="14">
        <v>1.8774903002946042E-2</v>
      </c>
      <c r="P80" s="14">
        <v>1.5809375556255056E-2</v>
      </c>
      <c r="Q80" s="14">
        <v>1.6107001052150183E-2</v>
      </c>
      <c r="R80" s="14">
        <v>2.1351947363460411E-2</v>
      </c>
      <c r="S80" s="14">
        <v>1.3422018512148637E-2</v>
      </c>
      <c r="T80" s="14">
        <v>0</v>
      </c>
      <c r="U80" s="14">
        <v>5.59311280117325E-3</v>
      </c>
      <c r="V80" s="14">
        <v>9.6258454140685235E-4</v>
      </c>
      <c r="W80" s="14">
        <v>0</v>
      </c>
      <c r="X80" s="14">
        <v>6.6652867404010108E-3</v>
      </c>
      <c r="Y80" s="14">
        <v>5.2910945908033469E-3</v>
      </c>
      <c r="Z80" s="14">
        <v>7.8942652970352967E-3</v>
      </c>
      <c r="AA80" s="14">
        <v>1.4433788172193152E-2</v>
      </c>
      <c r="AB80" s="14">
        <v>1.1416495310874297E-2</v>
      </c>
      <c r="AC80" s="14">
        <v>6.1817721119136748E-3</v>
      </c>
      <c r="AD80" s="14">
        <v>6.8171564114461458E-3</v>
      </c>
      <c r="AE80" s="14">
        <v>1.0226858007895079E-2</v>
      </c>
      <c r="AF80">
        <v>8.5007829262404577E-3</v>
      </c>
      <c r="AG80">
        <v>9.729145551876317E-3</v>
      </c>
      <c r="AH80">
        <v>6.1737727490360772E-3</v>
      </c>
      <c r="AI80">
        <v>1.1402907170393828E-2</v>
      </c>
      <c r="AJ80">
        <v>5.6668194426983676E-3</v>
      </c>
      <c r="AK80">
        <v>1.3873689672593281E-2</v>
      </c>
      <c r="AL80">
        <v>9.5609853455536076E-3</v>
      </c>
      <c r="AM80">
        <v>1.2622757639474291E-2</v>
      </c>
      <c r="AN80">
        <v>1.753495143445849E-2</v>
      </c>
      <c r="AO80">
        <v>9.0445283836275148E-3</v>
      </c>
      <c r="AP80">
        <v>1.423586599029425E-2</v>
      </c>
    </row>
    <row r="81" spans="1:42" x14ac:dyDescent="0.2">
      <c r="A81">
        <v>-0.22295399999999999</v>
      </c>
      <c r="B81">
        <v>1.0383398735359317E-2</v>
      </c>
      <c r="C81" s="14">
        <v>7.5262935812655529E-3</v>
      </c>
      <c r="D81" s="14">
        <v>0</v>
      </c>
      <c r="E81" s="14">
        <v>7.3587921312776583E-3</v>
      </c>
      <c r="F81" s="14">
        <v>4.8945291005291214E-3</v>
      </c>
      <c r="G81" s="14">
        <v>9.2257669293960287E-4</v>
      </c>
      <c r="H81" s="14">
        <v>8.3127760121570748E-3</v>
      </c>
      <c r="I81" s="14">
        <v>1.4217552262033584E-2</v>
      </c>
      <c r="J81" s="14">
        <v>0</v>
      </c>
      <c r="K81" s="14">
        <v>0</v>
      </c>
      <c r="L81" s="14">
        <v>1.2552014093548669E-3</v>
      </c>
      <c r="M81" s="14">
        <v>2.2695692742532581E-3</v>
      </c>
      <c r="N81" s="14">
        <v>8.818193095840976E-3</v>
      </c>
      <c r="O81" s="14">
        <v>3.2106876676477603E-3</v>
      </c>
      <c r="P81" s="14">
        <v>4.5712518541840552E-4</v>
      </c>
      <c r="Q81" s="14">
        <v>0</v>
      </c>
      <c r="R81" s="14">
        <v>1.5828503841077313E-2</v>
      </c>
      <c r="S81" s="14">
        <v>6.7150206634692955E-3</v>
      </c>
      <c r="T81" s="14">
        <v>0</v>
      </c>
      <c r="U81" s="14">
        <v>6.9111764892794691E-3</v>
      </c>
      <c r="V81" s="14">
        <v>0</v>
      </c>
      <c r="W81" s="14">
        <v>0</v>
      </c>
      <c r="X81" s="14">
        <v>1.0281659682695343E-2</v>
      </c>
      <c r="Y81" s="14">
        <v>7.5355187097532195E-3</v>
      </c>
      <c r="Z81" s="14">
        <v>9.6934450990100451E-3</v>
      </c>
      <c r="AA81" s="14">
        <v>7.7297242625229412E-3</v>
      </c>
      <c r="AB81" s="14">
        <v>4.279690744647513E-3</v>
      </c>
      <c r="AC81" s="14">
        <v>8.2932458757747907E-3</v>
      </c>
      <c r="AD81" s="14">
        <v>5.6728982909921566E-3</v>
      </c>
      <c r="AE81" s="14">
        <v>7.4923885667314005E-3</v>
      </c>
      <c r="AF81">
        <v>9.2851534275444347E-3</v>
      </c>
      <c r="AG81">
        <v>4.3944048383284251E-3</v>
      </c>
      <c r="AH81">
        <v>5.7963300467790413E-3</v>
      </c>
      <c r="AI81">
        <v>7.3098196306334851E-3</v>
      </c>
      <c r="AJ81">
        <v>1.4695543665808053E-3</v>
      </c>
      <c r="AK81">
        <v>1.4697304426466218E-2</v>
      </c>
      <c r="AL81">
        <v>9.6522395546351225E-3</v>
      </c>
      <c r="AM81">
        <v>1.0941721236093271E-2</v>
      </c>
      <c r="AN81">
        <v>2.3991121454599806E-2</v>
      </c>
      <c r="AO81">
        <v>8.0086810530861641E-3</v>
      </c>
      <c r="AP81">
        <v>1.053176775618303E-2</v>
      </c>
    </row>
    <row r="82" spans="1:42" x14ac:dyDescent="0.2">
      <c r="A82">
        <v>-0.21811899999999998</v>
      </c>
      <c r="B82">
        <v>1.0731747565039196E-2</v>
      </c>
      <c r="C82" s="14">
        <v>7.5364993256665791E-5</v>
      </c>
      <c r="D82" s="14">
        <v>5.7403506636366508E-3</v>
      </c>
      <c r="E82" s="14">
        <v>5.820435900564469E-3</v>
      </c>
      <c r="F82" s="14">
        <v>5.6052916666666786E-3</v>
      </c>
      <c r="G82" s="14">
        <v>0</v>
      </c>
      <c r="H82" s="14">
        <v>4.0245624590991014E-3</v>
      </c>
      <c r="I82" s="14">
        <v>1.4800124999999276E-2</v>
      </c>
      <c r="J82" s="14">
        <v>4.3111845238094082E-3</v>
      </c>
      <c r="K82" s="14">
        <v>3.7010937500000507E-3</v>
      </c>
      <c r="L82" s="14">
        <v>1.3327187499999615E-3</v>
      </c>
      <c r="M82" s="14">
        <v>2.9801666666665616E-3</v>
      </c>
      <c r="N82" s="14">
        <v>1.1452208333333047E-2</v>
      </c>
      <c r="O82" s="14">
        <v>1.4275449999985312E-3</v>
      </c>
      <c r="P82" s="14">
        <v>0</v>
      </c>
      <c r="Q82" s="14">
        <v>5.5585526315682365E-5</v>
      </c>
      <c r="R82" s="14">
        <v>7.5701331201867839E-3</v>
      </c>
      <c r="S82" s="14">
        <v>2.6340869565207869E-3</v>
      </c>
      <c r="T82" s="14">
        <v>2.4915624999999886E-3</v>
      </c>
      <c r="U82" s="14">
        <v>7.3542968749991666E-3</v>
      </c>
      <c r="V82" s="14">
        <v>4.0394374999974669E-3</v>
      </c>
      <c r="W82" s="14">
        <v>1.0752994565216334E-2</v>
      </c>
      <c r="X82" s="14">
        <v>1.2504086538457693E-2</v>
      </c>
      <c r="Y82" s="14">
        <v>1.065499519230495E-2</v>
      </c>
      <c r="Z82" s="14">
        <v>8.5939199999973681E-3</v>
      </c>
      <c r="AA82" s="14">
        <v>6.7127019230722729E-3</v>
      </c>
      <c r="AB82" s="14">
        <v>2.8299278846108389E-3</v>
      </c>
      <c r="AC82" s="14">
        <v>1.5436762930066905E-2</v>
      </c>
      <c r="AD82" s="14">
        <v>6.0046826923034757E-3</v>
      </c>
      <c r="AE82" s="14">
        <v>5.6329615384571596E-3</v>
      </c>
      <c r="AF82">
        <v>1.0945600774081687E-2</v>
      </c>
      <c r="AG82">
        <v>1.0434724136658136E-2</v>
      </c>
      <c r="AH82">
        <v>6.5662010869547149E-3</v>
      </c>
      <c r="AI82">
        <v>9.0137931020572992E-3</v>
      </c>
      <c r="AJ82">
        <v>6.076847608437741E-3</v>
      </c>
      <c r="AK82">
        <v>1.5192491156484356E-2</v>
      </c>
      <c r="AL82">
        <v>1.324355832563473E-2</v>
      </c>
      <c r="AM82">
        <v>1.3745746000551895E-2</v>
      </c>
      <c r="AN82">
        <v>2.2352374490279159E-2</v>
      </c>
      <c r="AO82">
        <v>9.597874807579343E-3</v>
      </c>
      <c r="AP82">
        <v>1.6999726448444497E-2</v>
      </c>
    </row>
    <row r="83" spans="1:42" x14ac:dyDescent="0.2">
      <c r="A83">
        <v>-0.213284</v>
      </c>
      <c r="B83">
        <v>1.4251125227846995E-2</v>
      </c>
      <c r="C83" s="14">
        <v>8.373662260166892E-3</v>
      </c>
      <c r="D83" s="14">
        <v>5.1626790440347792E-3</v>
      </c>
      <c r="E83" s="14">
        <v>2.9703113550192395E-3</v>
      </c>
      <c r="F83" s="14">
        <v>1.1347208333333469E-2</v>
      </c>
      <c r="G83" s="14">
        <v>5.7148750000000081E-3</v>
      </c>
      <c r="H83" s="14">
        <v>6.125208196997578E-4</v>
      </c>
      <c r="I83" s="14">
        <v>5.3197749999990274E-3</v>
      </c>
      <c r="J83" s="14">
        <v>6.8085535714280665E-3</v>
      </c>
      <c r="K83" s="14">
        <v>9.3532812499996787E-3</v>
      </c>
      <c r="L83" s="14">
        <v>9.1807291666656798E-4</v>
      </c>
      <c r="M83" s="14">
        <v>2.8168333333333795E-3</v>
      </c>
      <c r="N83" s="14">
        <v>4.8992916666664721E-3</v>
      </c>
      <c r="O83" s="14">
        <v>8.1754749999983778E-3</v>
      </c>
      <c r="P83" s="14">
        <v>5.6114407894733986E-3</v>
      </c>
      <c r="Q83" s="14">
        <v>9.6817565789471538E-3</v>
      </c>
      <c r="R83" s="14">
        <v>1.8234835200788724E-2</v>
      </c>
      <c r="S83" s="14">
        <v>1.2771217391303213E-2</v>
      </c>
      <c r="T83" s="14">
        <v>1.6006687499999894E-2</v>
      </c>
      <c r="U83" s="14">
        <v>6.2654739583322683E-3</v>
      </c>
      <c r="V83" s="14">
        <v>1.0062427884612646E-2</v>
      </c>
      <c r="W83" s="14">
        <v>1.2239070652172723E-2</v>
      </c>
      <c r="X83" s="14">
        <v>1.6421567307688123E-2</v>
      </c>
      <c r="Y83" s="14">
        <v>7.4305240384585081E-3</v>
      </c>
      <c r="Z83" s="14">
        <v>1.0776439999997112E-2</v>
      </c>
      <c r="AA83" s="14">
        <v>8.1017211538412237E-3</v>
      </c>
      <c r="AB83" s="14">
        <v>5.7562067307643239E-3</v>
      </c>
      <c r="AC83" s="14">
        <v>1.9517323274789833E-2</v>
      </c>
      <c r="AD83" s="14">
        <v>1.399350961538004E-2</v>
      </c>
      <c r="AE83" s="14">
        <v>1.1429576923072171E-2</v>
      </c>
      <c r="AF83">
        <v>1.6324124965852338E-2</v>
      </c>
      <c r="AG83">
        <v>8.9281034468652321E-3</v>
      </c>
      <c r="AH83">
        <v>5.9146358695633117E-3</v>
      </c>
      <c r="AI83">
        <v>1.0060827584665755E-2</v>
      </c>
      <c r="AJ83">
        <v>7.5121991682692846E-3</v>
      </c>
      <c r="AK83">
        <v>1.7712499862647446E-2</v>
      </c>
      <c r="AL83">
        <v>1.5302941658552949E-2</v>
      </c>
      <c r="AM83">
        <v>1.272083193285023E-2</v>
      </c>
      <c r="AN83">
        <v>2.9026710541496636E-2</v>
      </c>
      <c r="AO83">
        <v>1.0859109647107068E-2</v>
      </c>
      <c r="AP83">
        <v>1.8435742067078764E-2</v>
      </c>
    </row>
    <row r="84" spans="1:42" x14ac:dyDescent="0.2">
      <c r="A84">
        <v>-0.208449</v>
      </c>
      <c r="B84">
        <v>1.6239474159869649E-2</v>
      </c>
      <c r="C84" s="14">
        <v>1.4484733681785489E-2</v>
      </c>
      <c r="D84" s="14">
        <v>3.7097735357941586E-3</v>
      </c>
      <c r="E84" s="14">
        <v>0</v>
      </c>
      <c r="F84" s="14">
        <v>5.7149708994709281E-3</v>
      </c>
      <c r="G84" s="14">
        <v>1.3242670553056612E-2</v>
      </c>
      <c r="H84" s="14">
        <v>0</v>
      </c>
      <c r="I84" s="14">
        <v>0</v>
      </c>
      <c r="J84" s="14">
        <v>1.5649835437178017E-2</v>
      </c>
      <c r="K84" s="14">
        <v>1.2161396153249071E-2</v>
      </c>
      <c r="L84" s="14">
        <v>0</v>
      </c>
      <c r="M84" s="14">
        <v>6.8343072574661434E-4</v>
      </c>
      <c r="N84" s="14">
        <v>0</v>
      </c>
      <c r="O84" s="14">
        <v>1.6017832332349213E-2</v>
      </c>
      <c r="P84" s="14">
        <v>1.6425330999866206E-2</v>
      </c>
      <c r="Q84" s="14">
        <v>2.0729854078736121E-2</v>
      </c>
      <c r="R84" s="14">
        <v>2.7804471473753978E-2</v>
      </c>
      <c r="S84" s="14">
        <v>1.8752283684354831E-2</v>
      </c>
      <c r="T84" s="14">
        <v>1.683376849697521E-2</v>
      </c>
      <c r="U84" s="14">
        <v>8.2405943440520546E-3</v>
      </c>
      <c r="V84" s="14">
        <v>1.3241375665681177E-2</v>
      </c>
      <c r="W84" s="14">
        <v>1.3725085701021267E-2</v>
      </c>
      <c r="X84" s="14">
        <v>1.6647994163450475E-2</v>
      </c>
      <c r="Y84" s="14">
        <v>4.6430005210102432E-3</v>
      </c>
      <c r="Z84" s="14">
        <v>1.5145914900984381E-2</v>
      </c>
      <c r="AA84" s="14">
        <v>1.2115698814390563E-2</v>
      </c>
      <c r="AB84" s="14">
        <v>1.3056443870727685E-2</v>
      </c>
      <c r="AC84" s="14">
        <v>1.9004840329087891E-2</v>
      </c>
      <c r="AD84" s="14">
        <v>1.8263294016691412E-2</v>
      </c>
      <c r="AE84" s="14">
        <v>1.1757149894797869E-2</v>
      </c>
      <c r="AF84">
        <v>1.9296572312560323E-2</v>
      </c>
      <c r="AG84">
        <v>1.4093422745202866E-2</v>
      </c>
      <c r="AH84">
        <v>8.3802569097389812E-3</v>
      </c>
      <c r="AI84">
        <v>1.6467801056098241E-2</v>
      </c>
      <c r="AJ84">
        <v>9.6589924103629432E-3</v>
      </c>
      <c r="AK84">
        <v>2.0231438985813033E-2</v>
      </c>
      <c r="AL84">
        <v>1.719901042959604E-2</v>
      </c>
      <c r="AM84">
        <v>1.9352856697770537E-2</v>
      </c>
      <c r="AN84">
        <v>3.3075965495919957E-2</v>
      </c>
      <c r="AO84">
        <v>1.1682303402492211E-2</v>
      </c>
      <c r="AP84">
        <v>1.7793700759905162E-2</v>
      </c>
    </row>
    <row r="85" spans="1:42" x14ac:dyDescent="0.2">
      <c r="A85">
        <v>-0.20361399999999999</v>
      </c>
      <c r="B85">
        <v>2.3149794361107257E-2</v>
      </c>
      <c r="C85" s="14">
        <v>7.4715792581121487E-3</v>
      </c>
      <c r="D85" s="14">
        <v>1.3816341389149001E-3</v>
      </c>
      <c r="E85" s="14">
        <v>1.6433672282583078E-3</v>
      </c>
      <c r="F85" s="14">
        <v>0</v>
      </c>
      <c r="G85" s="14">
        <v>1.8803344992503024E-2</v>
      </c>
      <c r="H85" s="14">
        <v>1.4218194625406966E-2</v>
      </c>
      <c r="I85" s="14">
        <v>0</v>
      </c>
      <c r="J85" s="14">
        <v>2.4710030121059212E-2</v>
      </c>
      <c r="K85" s="14">
        <v>8.1884384597480375E-3</v>
      </c>
      <c r="L85" s="14">
        <v>1.3598664882890077E-3</v>
      </c>
      <c r="M85" s="14">
        <v>0</v>
      </c>
      <c r="N85" s="14">
        <v>0</v>
      </c>
      <c r="O85" s="14">
        <v>2.7141116997050907E-2</v>
      </c>
      <c r="P85" s="14">
        <v>1.4770150894336198E-2</v>
      </c>
      <c r="Q85" s="14">
        <v>2.2589878025682575E-2</v>
      </c>
      <c r="R85" s="14">
        <v>2.6656041939082387E-2</v>
      </c>
      <c r="S85" s="14">
        <v>2.1889285835675509E-2</v>
      </c>
      <c r="T85" s="14">
        <v>1.0441805490925882E-2</v>
      </c>
      <c r="U85" s="14">
        <v>1.1636408032158374E-2</v>
      </c>
      <c r="V85" s="14">
        <v>1.357728084320331E-2</v>
      </c>
      <c r="W85" s="14">
        <v>1.5430039711762045E-2</v>
      </c>
      <c r="X85" s="14">
        <v>2.0701367105744828E-2</v>
      </c>
      <c r="Y85" s="14">
        <v>1.5199424639960213E-2</v>
      </c>
      <c r="Z85" s="14">
        <v>1.7546344702959238E-2</v>
      </c>
      <c r="AA85" s="14">
        <v>2.0067634904720522E-2</v>
      </c>
      <c r="AB85" s="14">
        <v>1.6638639304500991E-2</v>
      </c>
      <c r="AC85" s="14">
        <v>1.6741314092961035E-2</v>
      </c>
      <c r="AD85" s="14">
        <v>2.1002035896237559E-2</v>
      </c>
      <c r="AE85" s="14">
        <v>1.6679680453634271E-2</v>
      </c>
      <c r="AF85">
        <v>2.2705942814205682E-2</v>
      </c>
      <c r="AG85">
        <v>1.6304682031670681E-2</v>
      </c>
      <c r="AH85">
        <v>9.1505642074821703E-3</v>
      </c>
      <c r="AI85">
        <v>2.1015713516355117E-2</v>
      </c>
      <c r="AJ85">
        <v>1.0383727334718929E-2</v>
      </c>
      <c r="AK85">
        <v>2.209430852598071E-2</v>
      </c>
      <c r="AL85">
        <v>1.9422514638763877E-2</v>
      </c>
      <c r="AM85">
        <v>1.9530820295312723E-2</v>
      </c>
      <c r="AN85">
        <v>3.296913935354906E-2</v>
      </c>
      <c r="AO85">
        <v>1.3271456073734866E-2</v>
      </c>
      <c r="AP85">
        <v>1.8245602526923643E-2</v>
      </c>
    </row>
    <row r="86" spans="1:42" x14ac:dyDescent="0.2">
      <c r="A86">
        <v>-0.19877799999999998</v>
      </c>
      <c r="B86">
        <v>3.071634487853786E-2</v>
      </c>
      <c r="C86" s="14">
        <v>1.7712316296775166E-3</v>
      </c>
      <c r="D86" s="14">
        <v>0</v>
      </c>
      <c r="E86" s="14">
        <v>0</v>
      </c>
      <c r="F86" s="14">
        <v>3.7546405532773441E-5</v>
      </c>
      <c r="G86" s="14">
        <v>1.3425988340830419E-2</v>
      </c>
      <c r="H86" s="14">
        <v>2.6249555374592504E-2</v>
      </c>
      <c r="I86" s="14">
        <v>5.5359567861004155E-3</v>
      </c>
      <c r="J86" s="14">
        <v>1.8238922259890655E-2</v>
      </c>
      <c r="K86" s="14">
        <v>4.9706154025053184E-4</v>
      </c>
      <c r="L86" s="14">
        <v>3.4156335117108139E-3</v>
      </c>
      <c r="M86" s="14">
        <v>0</v>
      </c>
      <c r="N86" s="14">
        <v>2.7376709149818934E-3</v>
      </c>
      <c r="O86" s="14">
        <v>2.7327483002944963E-2</v>
      </c>
      <c r="P86" s="14">
        <v>1.4209533316188794E-2</v>
      </c>
      <c r="Q86" s="14">
        <v>1.5920490395368858E-2</v>
      </c>
      <c r="R86" s="14">
        <v>3.0758170002387286E-2</v>
      </c>
      <c r="S86" s="14">
        <v>1.8027801120843401E-2</v>
      </c>
      <c r="T86" s="14">
        <v>5.3631945090738542E-3</v>
      </c>
      <c r="U86" s="14">
        <v>1.3939175301172224E-2</v>
      </c>
      <c r="V86" s="14">
        <v>1.2163526849097273E-2</v>
      </c>
      <c r="W86" s="14">
        <v>1.3197482027365426E-2</v>
      </c>
      <c r="X86" s="14">
        <v>2.9350171355783217E-2</v>
      </c>
      <c r="Y86" s="14">
        <v>1.5038267667724814E-2</v>
      </c>
      <c r="Z86" s="14">
        <v>2.0166135297033927E-2</v>
      </c>
      <c r="AA86" s="14">
        <v>1.9925903556806401E-2</v>
      </c>
      <c r="AB86" s="14">
        <v>2.3966918387795355E-2</v>
      </c>
      <c r="AC86" s="14">
        <v>1.7760134180263842E-2</v>
      </c>
      <c r="AD86" s="14">
        <v>1.9584117949905666E-2</v>
      </c>
      <c r="AE86" s="14">
        <v>1.8538550315585267E-2</v>
      </c>
      <c r="AF86">
        <v>2.458592807716975E-2</v>
      </c>
      <c r="AG86">
        <v>1.6767421413135697E-2</v>
      </c>
      <c r="AH86">
        <v>1.0905881444686849E-2</v>
      </c>
      <c r="AI86">
        <v>1.7688114066061189E-2</v>
      </c>
      <c r="AJ86">
        <v>1.0807678802112031E-2</v>
      </c>
      <c r="AK86">
        <v>2.2645745526418848E-2</v>
      </c>
      <c r="AL86">
        <v>2.0827285343139601E-2</v>
      </c>
      <c r="AM86">
        <v>1.8397273234092459E-2</v>
      </c>
      <c r="AN86">
        <v>4.095597068364587E-2</v>
      </c>
      <c r="AO86">
        <v>1.0813937422351316E-2</v>
      </c>
      <c r="AP86">
        <v>2.4713959703113075E-2</v>
      </c>
    </row>
    <row r="87" spans="1:42" x14ac:dyDescent="0.2">
      <c r="A87">
        <v>-0.193943</v>
      </c>
      <c r="B87">
        <v>3.6751665186720017E-2</v>
      </c>
      <c r="C87" s="14">
        <v>0</v>
      </c>
      <c r="D87" s="14">
        <v>0</v>
      </c>
      <c r="E87" s="14">
        <v>1.5861156351791861E-3</v>
      </c>
      <c r="F87" s="14">
        <v>8.4238095861576268E-3</v>
      </c>
      <c r="G87" s="14">
        <v>3.6736627802768096E-3</v>
      </c>
      <c r="H87" s="14">
        <v>3.0624851791530405E-2</v>
      </c>
      <c r="I87" s="14">
        <v>2.0774452262032117E-2</v>
      </c>
      <c r="J87" s="14">
        <v>8.0481169437718325E-3</v>
      </c>
      <c r="K87" s="14">
        <v>1.1171038467495675E-3</v>
      </c>
      <c r="L87" s="14">
        <v>1.0957945039036243E-3</v>
      </c>
      <c r="M87" s="14">
        <v>2.8191972044067093E-3</v>
      </c>
      <c r="N87" s="14">
        <v>1.0181649564252826E-2</v>
      </c>
      <c r="O87" s="14">
        <v>1.7888267667646784E-2</v>
      </c>
      <c r="P87" s="14">
        <v>2.2723532106587729E-3</v>
      </c>
      <c r="Q87" s="14">
        <v>1.0343514342315396E-2</v>
      </c>
      <c r="R87" s="14">
        <v>2.4359747256694375E-2</v>
      </c>
      <c r="S87" s="14">
        <v>1.3070803272164033E-2</v>
      </c>
      <c r="T87" s="14">
        <v>4.8772315030244373E-3</v>
      </c>
      <c r="U87" s="14">
        <v>1.8101238989278512E-2</v>
      </c>
      <c r="V87" s="14">
        <v>9.8734320266193887E-3</v>
      </c>
      <c r="W87" s="14">
        <v>1.2058436038106191E-2</v>
      </c>
      <c r="X87" s="14">
        <v>3.2638544298077665E-2</v>
      </c>
      <c r="Y87" s="14">
        <v>1.8813691786674747E-2</v>
      </c>
      <c r="Z87" s="14">
        <v>2.1254565099008915E-2</v>
      </c>
      <c r="AA87" s="14">
        <v>2.0002839647136283E-2</v>
      </c>
      <c r="AB87" s="14">
        <v>3.5396363821568633E-2</v>
      </c>
      <c r="AC87" s="14">
        <v>2.2497607944144682E-2</v>
      </c>
      <c r="AD87" s="14">
        <v>1.816685982945182E-2</v>
      </c>
      <c r="AE87" s="14">
        <v>1.7554080874421729E-2</v>
      </c>
      <c r="AF87">
        <v>2.2089298579011429E-2</v>
      </c>
      <c r="AG87">
        <v>2.0838680699613588E-2</v>
      </c>
      <c r="AH87">
        <v>1.1402438742429966E-2</v>
      </c>
      <c r="AI87">
        <v>1.9611026526329067E-2</v>
      </c>
      <c r="AJ87">
        <v>1.0848663726740926E-2</v>
      </c>
      <c r="AK87">
        <v>2.6695617465621657E-2</v>
      </c>
      <c r="AL87">
        <v>1.8730539552357373E-2</v>
      </c>
      <c r="AM87">
        <v>1.8466236832166527E-2</v>
      </c>
      <c r="AN87">
        <v>4.0849146487314636E-2</v>
      </c>
      <c r="AO87">
        <v>1.5684090094599257E-2</v>
      </c>
      <c r="AP87">
        <v>2.3415861470782784E-2</v>
      </c>
    </row>
    <row r="88" spans="1:42" x14ac:dyDescent="0.2">
      <c r="A88">
        <v>-0.189108</v>
      </c>
      <c r="B88">
        <v>2.6052014332293372E-2</v>
      </c>
      <c r="C88" s="14">
        <v>0</v>
      </c>
      <c r="D88" s="14">
        <v>2.9893333333333993E-3</v>
      </c>
      <c r="E88" s="14">
        <v>0</v>
      </c>
      <c r="F88" s="14">
        <v>6.966176470587615E-3</v>
      </c>
      <c r="G88" s="14">
        <v>0</v>
      </c>
      <c r="H88" s="14">
        <v>1.815624999999943E-2</v>
      </c>
      <c r="I88" s="14">
        <v>1.5888024999997974E-2</v>
      </c>
      <c r="J88" s="14">
        <v>0</v>
      </c>
      <c r="K88" s="14">
        <v>6.7692187499989176E-3</v>
      </c>
      <c r="L88" s="14">
        <v>0</v>
      </c>
      <c r="M88" s="14">
        <v>1.8114744565216889E-2</v>
      </c>
      <c r="N88" s="14">
        <v>2.8507673611110396E-2</v>
      </c>
      <c r="O88" s="14">
        <v>1.1074124999997603E-2</v>
      </c>
      <c r="P88" s="14">
        <v>2.5862434210516261E-3</v>
      </c>
      <c r="Q88" s="14">
        <v>5.3136118421043821E-3</v>
      </c>
      <c r="R88" s="14">
        <v>1.861739709419169E-2</v>
      </c>
      <c r="S88" s="14">
        <v>8.9898695652156357E-3</v>
      </c>
      <c r="T88" s="14">
        <v>1.0735312499999761E-2</v>
      </c>
      <c r="U88" s="14">
        <v>2.1306109374998328E-2</v>
      </c>
      <c r="V88" s="14">
        <v>1.349037980768808E-2</v>
      </c>
      <c r="W88" s="14">
        <v>1.6169451086954778E-2</v>
      </c>
      <c r="X88" s="14">
        <v>2.6739971153840136E-2</v>
      </c>
      <c r="Y88" s="14">
        <v>1.7776168269226567E-2</v>
      </c>
      <c r="Z88" s="14">
        <v>1.6655039999996291E-2</v>
      </c>
      <c r="AA88" s="14">
        <v>1.5047817307685785E-2</v>
      </c>
      <c r="AB88" s="14">
        <v>3.0775600961532035E-2</v>
      </c>
      <c r="AC88" s="14">
        <v>2.2640124998458189E-2</v>
      </c>
      <c r="AD88" s="14">
        <v>1.740564423076324E-2</v>
      </c>
      <c r="AE88" s="14">
        <v>1.6569653846147503E-2</v>
      </c>
      <c r="AF88">
        <v>2.2873745926111022E-2</v>
      </c>
      <c r="AG88">
        <v>1.5065999997971535E-2</v>
      </c>
      <c r="AH88">
        <v>9.9310597826057778E-3</v>
      </c>
      <c r="AI88">
        <v>2.2079999997783872E-2</v>
      </c>
      <c r="AJ88">
        <v>1.2338456969379297E-2</v>
      </c>
      <c r="AK88">
        <v>2.4621561381197754E-2</v>
      </c>
      <c r="AL88">
        <v>1.9696858323499544E-2</v>
      </c>
      <c r="AM88">
        <v>2.2035261598148281E-2</v>
      </c>
      <c r="AN88">
        <v>3.3742405329008407E-2</v>
      </c>
      <c r="AO88">
        <v>1.2898283851990544E-2</v>
      </c>
      <c r="AP88">
        <v>2.2555820164908313E-2</v>
      </c>
    </row>
    <row r="89" spans="1:42" x14ac:dyDescent="0.2">
      <c r="A89">
        <v>-0.18427299999999999</v>
      </c>
      <c r="B89">
        <v>1.3931392315257751E-2</v>
      </c>
      <c r="C89" s="14">
        <v>5.8090535714283575E-3</v>
      </c>
      <c r="D89" s="14">
        <v>1.3856666666667294E-3</v>
      </c>
      <c r="E89" s="14">
        <v>1.3671874999999778E-3</v>
      </c>
      <c r="F89" s="14">
        <v>5.7276470588227824E-3</v>
      </c>
      <c r="G89" s="14">
        <v>8.8206999999996816E-3</v>
      </c>
      <c r="H89" s="14">
        <v>1.5968749999999199E-2</v>
      </c>
      <c r="I89" s="14">
        <v>7.7206749999978452E-3</v>
      </c>
      <c r="J89" s="14">
        <v>1.1292767857140618E-2</v>
      </c>
      <c r="K89" s="14">
        <v>1.8546406249998815E-2</v>
      </c>
      <c r="L89" s="14">
        <v>0</v>
      </c>
      <c r="M89" s="14">
        <v>3.2207342391303628E-2</v>
      </c>
      <c r="N89" s="14">
        <v>5.2849743055554566E-2</v>
      </c>
      <c r="O89" s="14">
        <v>1.6948054999997575E-2</v>
      </c>
      <c r="P89" s="14">
        <v>7.2752039473672481E-3</v>
      </c>
      <c r="Q89" s="14">
        <v>6.5187828947358417E-3</v>
      </c>
      <c r="R89" s="14">
        <v>2.4031119514879129E-2</v>
      </c>
      <c r="S89" s="14">
        <v>1.8689999999998153E-2</v>
      </c>
      <c r="T89" s="14">
        <v>1.2875437499999753E-2</v>
      </c>
      <c r="U89" s="14">
        <v>2.5659536458331522E-2</v>
      </c>
      <c r="V89" s="14">
        <v>1.9950370192303279E-2</v>
      </c>
      <c r="W89" s="14">
        <v>2.224952717391121E-2</v>
      </c>
      <c r="X89" s="14">
        <v>2.510645192307065E-2</v>
      </c>
      <c r="Y89" s="14">
        <v>1.4333697115380184E-2</v>
      </c>
      <c r="Z89" s="14">
        <v>1.7305559999996056E-2</v>
      </c>
      <c r="AA89" s="14">
        <v>1.5780836538454801E-2</v>
      </c>
      <c r="AB89" s="14">
        <v>3.840387980768567E-2</v>
      </c>
      <c r="AC89" s="14">
        <v>2.3002685343204321E-2</v>
      </c>
      <c r="AD89" s="14">
        <v>2.1237471153839949E-2</v>
      </c>
      <c r="AE89" s="14">
        <v>1.8429269230762657E-2</v>
      </c>
      <c r="AF89">
        <v>2.3221270118468418E-2</v>
      </c>
      <c r="AG89">
        <v>2.1653379308209209E-2</v>
      </c>
      <c r="AH89">
        <v>1.5458744565214344E-2</v>
      </c>
      <c r="AI89">
        <v>2.378403448042532E-2</v>
      </c>
      <c r="AJ89">
        <v>1.5141308530026987E-2</v>
      </c>
      <c r="AK89">
        <v>2.5609577273147388E-2</v>
      </c>
      <c r="AL89">
        <v>2.022524165656614E-2</v>
      </c>
      <c r="AM89">
        <v>2.7245347532037778E-2</v>
      </c>
      <c r="AN89">
        <v>4.2166747208727373E-2</v>
      </c>
      <c r="AO89">
        <v>1.5581518694525232E-2</v>
      </c>
      <c r="AP89">
        <v>2.7819835785489744E-2</v>
      </c>
    </row>
    <row r="90" spans="1:42" x14ac:dyDescent="0.2">
      <c r="A90">
        <v>-0.17943799999999999</v>
      </c>
      <c r="B90">
        <v>1.7122770353492467E-2</v>
      </c>
      <c r="C90" s="14">
        <v>1.0410089285713853E-2</v>
      </c>
      <c r="D90" s="14">
        <v>3.7190000000001389E-3</v>
      </c>
      <c r="E90" s="14">
        <v>0</v>
      </c>
      <c r="F90" s="14">
        <v>5.8021176470577362E-3</v>
      </c>
      <c r="G90" s="14">
        <v>1.7253499999999478E-2</v>
      </c>
      <c r="H90" s="14">
        <v>1.5968249999999129E-2</v>
      </c>
      <c r="I90" s="14">
        <v>5.2403249999977142E-3</v>
      </c>
      <c r="J90" s="14">
        <v>3.6540136904759435E-2</v>
      </c>
      <c r="K90" s="14">
        <v>2.5947593749998665E-2</v>
      </c>
      <c r="L90" s="14">
        <v>9.8120833333326107E-4</v>
      </c>
      <c r="M90" s="14">
        <v>3.7659440217390372E-2</v>
      </c>
      <c r="N90" s="14">
        <v>4.8261812499998724E-2</v>
      </c>
      <c r="O90" s="14">
        <v>3.0695984999997428E-2</v>
      </c>
      <c r="P90" s="14">
        <v>1.612016447368303E-2</v>
      </c>
      <c r="Q90" s="14">
        <v>2.1066953947367295E-2</v>
      </c>
      <c r="R90" s="14">
        <v>3.3710845142640555E-2</v>
      </c>
      <c r="S90" s="14">
        <v>2.2046130434780598E-2</v>
      </c>
      <c r="T90" s="14">
        <v>1.2171562499999788E-2</v>
      </c>
      <c r="U90" s="14">
        <v>2.7524713541664747E-2</v>
      </c>
      <c r="V90" s="14">
        <v>1.8317360576918351E-2</v>
      </c>
      <c r="W90" s="14">
        <v>3.5875603260867639E-2</v>
      </c>
      <c r="X90" s="14">
        <v>2.5441932692301106E-2</v>
      </c>
      <c r="Y90" s="14">
        <v>1.7015225961533875E-2</v>
      </c>
      <c r="Z90" s="14">
        <v>2.517507999999602E-2</v>
      </c>
      <c r="AA90" s="14">
        <v>2.5701855769223791E-2</v>
      </c>
      <c r="AB90" s="14">
        <v>4.6799158653839379E-2</v>
      </c>
      <c r="AC90" s="14">
        <v>2.5771245687955358E-2</v>
      </c>
      <c r="AD90" s="14">
        <v>2.682029807691666E-2</v>
      </c>
      <c r="AE90" s="14">
        <v>2.1163884615377826E-2</v>
      </c>
      <c r="AF90">
        <v>3.1443794310937356E-2</v>
      </c>
      <c r="AG90">
        <v>2.7036758618453338E-2</v>
      </c>
      <c r="AH90">
        <v>1.98934293478229E-2</v>
      </c>
      <c r="AI90">
        <v>2.5816068963073868E-2</v>
      </c>
      <c r="AJ90">
        <v>1.9585160090830445E-2</v>
      </c>
      <c r="AK90">
        <v>2.9003594347196682E-2</v>
      </c>
      <c r="AL90">
        <v>2.709762498966084E-2</v>
      </c>
      <c r="AM90">
        <v>2.8189433466230818E-2</v>
      </c>
      <c r="AN90">
        <v>4.9716090061541429E-2</v>
      </c>
      <c r="AO90">
        <v>1.9248753537621344E-2</v>
      </c>
      <c r="AP90">
        <v>2.947485140644257E-2</v>
      </c>
    </row>
    <row r="91" spans="1:42" x14ac:dyDescent="0.2">
      <c r="A91">
        <v>-0.17460299999999998</v>
      </c>
      <c r="B91">
        <v>1.900214844699738E-2</v>
      </c>
      <c r="C91" s="14">
        <v>1.0199124999999309E-2</v>
      </c>
      <c r="D91" s="14">
        <v>1.6773333333333085E-3</v>
      </c>
      <c r="E91" s="14">
        <v>5.5124999999822677E-5</v>
      </c>
      <c r="F91" s="14">
        <v>3.4695882352929752E-3</v>
      </c>
      <c r="G91" s="14">
        <v>2.3280299999999254E-2</v>
      </c>
      <c r="H91" s="14">
        <v>2.2311749999999075E-2</v>
      </c>
      <c r="I91" s="14">
        <v>1.0197974999997639E-2</v>
      </c>
      <c r="J91" s="14">
        <v>3.4006505952378308E-2</v>
      </c>
      <c r="K91" s="14">
        <v>1.694378124999868E-2</v>
      </c>
      <c r="L91" s="14">
        <v>6.0066249999997101E-3</v>
      </c>
      <c r="M91" s="14">
        <v>3.4798538043477212E-2</v>
      </c>
      <c r="N91" s="14">
        <v>4.7392881944442911E-2</v>
      </c>
      <c r="O91" s="14">
        <v>3.8100914999997348E-2</v>
      </c>
      <c r="P91" s="14">
        <v>2.2777124999998732E-2</v>
      </c>
      <c r="Q91" s="14">
        <v>2.424012499999878E-2</v>
      </c>
      <c r="R91" s="14">
        <v>4.2406573977476048E-2</v>
      </c>
      <c r="S91" s="14">
        <v>2.8245260869563138E-2</v>
      </c>
      <c r="T91" s="14">
        <v>9.0606874999997755E-3</v>
      </c>
      <c r="U91" s="14">
        <v>3.8248890624997978E-2</v>
      </c>
      <c r="V91" s="14">
        <v>1.6246350961533707E-2</v>
      </c>
      <c r="W91" s="14">
        <v>3.550267934782414E-2</v>
      </c>
      <c r="X91" s="14">
        <v>3.2011413461531579E-2</v>
      </c>
      <c r="Y91" s="14">
        <v>2.2759754807687493E-2</v>
      </c>
      <c r="Z91" s="14">
        <v>2.7357599999995874E-2</v>
      </c>
      <c r="AA91" s="14">
        <v>2.8840874999992772E-2</v>
      </c>
      <c r="AB91" s="14">
        <v>4.8083437499992998E-2</v>
      </c>
      <c r="AC91" s="14">
        <v>2.4601806032711226E-2</v>
      </c>
      <c r="AD91" s="14">
        <v>2.868312499999337E-2</v>
      </c>
      <c r="AE91" s="14">
        <v>2.4335499999993015E-2</v>
      </c>
      <c r="AF91">
        <v>3.901031850351766E-2</v>
      </c>
      <c r="AG91">
        <v>2.9249137928703761E-2</v>
      </c>
      <c r="AH91">
        <v>2.0609114130431538E-2</v>
      </c>
      <c r="AI91">
        <v>2.9598103445729329E-2</v>
      </c>
      <c r="AJ91">
        <v>2.0528011651789635E-2</v>
      </c>
      <c r="AK91">
        <v>3.1303612603345798E-2</v>
      </c>
      <c r="AL91">
        <v>2.6532008322783462E-2</v>
      </c>
      <c r="AM91">
        <v>3.1212519400727445E-2</v>
      </c>
      <c r="AN91">
        <v>4.9827433887450923E-2</v>
      </c>
      <c r="AO91">
        <v>2.094798838127887E-2</v>
      </c>
      <c r="AP91">
        <v>3.2661367027767008E-2</v>
      </c>
    </row>
    <row r="92" spans="1:42" x14ac:dyDescent="0.2">
      <c r="A92">
        <v>-0.169768</v>
      </c>
      <c r="B92">
        <v>1.8911469033410788E-2</v>
      </c>
      <c r="C92" s="14">
        <v>6.9258549529512825E-3</v>
      </c>
      <c r="D92" s="14">
        <v>0</v>
      </c>
      <c r="E92" s="14">
        <v>3.7365715282803302E-3</v>
      </c>
      <c r="F92" s="14">
        <v>5.2928514266409321E-3</v>
      </c>
      <c r="G92" s="14">
        <v>2.011889020783697E-2</v>
      </c>
      <c r="H92" s="14">
        <v>3.4562046427462523E-2</v>
      </c>
      <c r="I92" s="14">
        <v>2.2155470483918527E-2</v>
      </c>
      <c r="J92" s="14">
        <v>3.2347700645274369E-2</v>
      </c>
      <c r="K92" s="14">
        <v>9.0328235640043109E-3</v>
      </c>
      <c r="L92" s="14">
        <v>1.278092888532667E-2</v>
      </c>
      <c r="M92" s="14">
        <v>3.664153494422917E-2</v>
      </c>
      <c r="N92" s="14">
        <v>5.0788860598408148E-2</v>
      </c>
      <c r="O92" s="14">
        <v>3.5880699672213134E-2</v>
      </c>
      <c r="P92" s="14">
        <v>3.0528944901739685E-2</v>
      </c>
      <c r="Q92" s="14">
        <v>2.3038148954550863E-2</v>
      </c>
      <c r="R92" s="14">
        <v>4.1914167360734833E-2</v>
      </c>
      <c r="S92" s="14">
        <v>3.2011763027516293E-2</v>
      </c>
      <c r="T92" s="14">
        <v>6.6067244985004714E-3</v>
      </c>
      <c r="U92" s="14">
        <v>5.2800954318966975E-2</v>
      </c>
      <c r="V92" s="14">
        <v>1.6582256143461205E-2</v>
      </c>
      <c r="W92" s="14">
        <v>3.3488633364876397E-2</v>
      </c>
      <c r="X92" s="14">
        <v>3.2893786409400938E-2</v>
      </c>
      <c r="Y92" s="14">
        <v>2.6316178932052015E-2</v>
      </c>
      <c r="Z92" s="14">
        <v>2.8883029806634264E-2</v>
      </c>
      <c r="AA92" s="14">
        <v>3.5862811094621305E-2</v>
      </c>
      <c r="AB92" s="14">
        <v>4.5978632938078912E-2</v>
      </c>
      <c r="AC92" s="14">
        <v>2.6276279801092262E-2</v>
      </c>
      <c r="AD92" s="14">
        <v>2.8577866883936431E-2</v>
      </c>
      <c r="AE92" s="14">
        <v>3.2456780563215104E-2</v>
      </c>
      <c r="AF92">
        <v>3.5420689013855311E-2</v>
      </c>
      <c r="AG92">
        <v>3.1898397221418517E-2</v>
      </c>
      <c r="AH92">
        <v>2.5043671434765713E-2</v>
      </c>
      <c r="AI92">
        <v>3.0317015912340262E-2</v>
      </c>
      <c r="AJ92">
        <v>2.3439746583216958E-2</v>
      </c>
      <c r="AK92">
        <v>3.3440240465888782E-2</v>
      </c>
      <c r="AL92">
        <v>2.9686262538815567E-2</v>
      </c>
      <c r="AM92">
        <v>3.4562483006623901E-2</v>
      </c>
      <c r="AN92">
        <v>5.103361456229405E-2</v>
      </c>
      <c r="AO92">
        <v>2.0677141060550019E-2</v>
      </c>
      <c r="AP92">
        <v>3.5519768803155438E-2</v>
      </c>
    </row>
    <row r="93" spans="1:42" x14ac:dyDescent="0.2">
      <c r="A93">
        <v>-0.164932</v>
      </c>
      <c r="B93">
        <v>2.1446962363628086E-2</v>
      </c>
      <c r="C93" s="14">
        <v>4.0905021899040328E-3</v>
      </c>
      <c r="D93" s="14">
        <v>4.5532075147346474E-3</v>
      </c>
      <c r="E93" s="14">
        <v>8.2949284717194205E-3</v>
      </c>
      <c r="F93" s="14">
        <v>1.302373680865021E-2</v>
      </c>
      <c r="G93" s="14">
        <v>1.1052109792161091E-2</v>
      </c>
      <c r="H93" s="14">
        <v>3.6311953572535305E-2</v>
      </c>
      <c r="I93" s="14">
        <v>3.0394429516076404E-2</v>
      </c>
      <c r="J93" s="14">
        <v>1.82204184023389E-2</v>
      </c>
      <c r="K93" s="14">
        <v>9.2163014359927242E-3</v>
      </c>
      <c r="L93" s="14">
        <v>4.3072571114671776E-2</v>
      </c>
      <c r="M93" s="14">
        <v>4.0234834620985593E-2</v>
      </c>
      <c r="N93" s="14">
        <v>5.8124111623810371E-2</v>
      </c>
      <c r="O93" s="14">
        <v>2.3816920327781321E-2</v>
      </c>
      <c r="P93" s="14">
        <v>2.5811186677205E-2</v>
      </c>
      <c r="Q93" s="14">
        <v>1.3524614203341279E-2</v>
      </c>
      <c r="R93" s="14">
        <v>3.6500179471927019E-2</v>
      </c>
      <c r="S93" s="14">
        <v>3.5224275015957707E-2</v>
      </c>
      <c r="T93" s="14">
        <v>5.2470255014991363E-3</v>
      </c>
      <c r="U93" s="14">
        <v>4.219735818102871E-2</v>
      </c>
      <c r="V93" s="14">
        <v>2.1074416933451801E-2</v>
      </c>
      <c r="W93" s="14">
        <v>3.5849953591641226E-2</v>
      </c>
      <c r="X93" s="14">
        <v>3.8807482821353989E-2</v>
      </c>
      <c r="Y93" s="14">
        <v>2.7247917221784157E-2</v>
      </c>
      <c r="Z93" s="14">
        <v>2.7783730193357448E-2</v>
      </c>
      <c r="AA93" s="14">
        <v>4.6056996597671429E-2</v>
      </c>
      <c r="AB93" s="14">
        <v>4.3982078600368013E-2</v>
      </c>
      <c r="AC93" s="14">
        <v>3.1670013298619015E-2</v>
      </c>
      <c r="AD93" s="14">
        <v>2.5847863885280542E-2</v>
      </c>
      <c r="AE93" s="14">
        <v>4.3804815590616442E-2</v>
      </c>
      <c r="AF93">
        <v>4.4299520571386974E-2</v>
      </c>
      <c r="AG93">
        <v>3.2579016566768204E-2</v>
      </c>
      <c r="AH93">
        <v>2.5102611173923095E-2</v>
      </c>
      <c r="AI93">
        <v>3.4099294427115567E-2</v>
      </c>
      <c r="AJ93">
        <v>2.252383140389258E-2</v>
      </c>
      <c r="AK93">
        <v>3.568679416801479E-2</v>
      </c>
      <c r="AL93">
        <v>3.3714904106236343E-2</v>
      </c>
      <c r="AM93">
        <v>3.4249063599592899E-2</v>
      </c>
      <c r="AN93">
        <v>5.3552288552983662E-2</v>
      </c>
      <c r="AO93">
        <v>2.3688540235313693E-2</v>
      </c>
      <c r="AP93">
        <v>3.7831012117908847E-2</v>
      </c>
    </row>
    <row r="94" spans="1:42" x14ac:dyDescent="0.2">
      <c r="A94">
        <v>-0.16009699999999999</v>
      </c>
      <c r="B94">
        <v>1.9935283061307374E-2</v>
      </c>
      <c r="C94" s="14">
        <v>5.6292321428559333E-3</v>
      </c>
      <c r="D94" s="14">
        <v>9.7755624999996682E-3</v>
      </c>
      <c r="E94" s="14">
        <v>7.1643749999998896E-3</v>
      </c>
      <c r="F94" s="14">
        <v>1.9222999999998325E-2</v>
      </c>
      <c r="G94" s="14">
        <v>5.2666999999987363E-3</v>
      </c>
      <c r="H94" s="14">
        <v>2.1656249999998822E-2</v>
      </c>
      <c r="I94" s="14">
        <v>2.8132924999997422E-2</v>
      </c>
      <c r="J94" s="14">
        <v>1.2842613095234934E-2</v>
      </c>
      <c r="K94" s="14">
        <v>1.946234374999839E-2</v>
      </c>
      <c r="L94" s="14">
        <v>3.8362874999998908E-2</v>
      </c>
      <c r="M94" s="14">
        <v>4.2842831521737623E-2</v>
      </c>
      <c r="N94" s="14">
        <v>5.7911090277775634E-2</v>
      </c>
      <c r="O94" s="14">
        <v>2.0939704999997144E-2</v>
      </c>
      <c r="P94" s="14">
        <v>1.8250006578945932E-2</v>
      </c>
      <c r="Q94" s="14">
        <v>1.0134638157893339E-2</v>
      </c>
      <c r="R94" s="14">
        <v>3.1523778915301004E-2</v>
      </c>
      <c r="S94" s="14">
        <v>3.9188652173910821E-2</v>
      </c>
      <c r="T94" s="14">
        <v>1.2855062499999792E-2</v>
      </c>
      <c r="U94" s="14">
        <v>3.6078421874997768E-2</v>
      </c>
      <c r="V94" s="14">
        <v>2.294032211537933E-2</v>
      </c>
      <c r="W94" s="14">
        <v>4.1819907608693474E-2</v>
      </c>
      <c r="X94" s="14">
        <v>3.7064855769223359E-2</v>
      </c>
      <c r="Y94" s="14">
        <v>2.7086341346148735E-2</v>
      </c>
      <c r="Z94" s="14">
        <v>2.5591159999995727E-2</v>
      </c>
      <c r="AA94" s="14">
        <v>4.2851932692300032E-2</v>
      </c>
      <c r="AB94" s="14">
        <v>4.1111274038453938E-2</v>
      </c>
      <c r="AC94" s="14">
        <v>3.6844487067011045E-2</v>
      </c>
      <c r="AD94" s="14">
        <v>2.5305605769223694E-2</v>
      </c>
      <c r="AE94" s="14">
        <v>4.0523346153838624E-2</v>
      </c>
      <c r="AF94">
        <v>4.2021891081961193E-2</v>
      </c>
      <c r="AG94">
        <v>3.6322275859497544E-2</v>
      </c>
      <c r="AH94">
        <v>2.7131168478257472E-2</v>
      </c>
      <c r="AI94">
        <v>3.5474206893742255E-2</v>
      </c>
      <c r="AJ94">
        <v>2.4561566335652096E-2</v>
      </c>
      <c r="AK94">
        <v>3.7767674336855905E-2</v>
      </c>
      <c r="AL94">
        <v>3.6212158322327603E-2</v>
      </c>
      <c r="AM94">
        <v>3.5356777206136947E-2</v>
      </c>
      <c r="AN94">
        <v>5.6726471146795188E-2</v>
      </c>
      <c r="AO94">
        <v>2.2652692915767991E-2</v>
      </c>
      <c r="AP94">
        <v>3.9048913894089821E-2</v>
      </c>
    </row>
    <row r="95" spans="1:42" x14ac:dyDescent="0.2">
      <c r="A95">
        <v>-0.15526199999999998</v>
      </c>
      <c r="B95">
        <v>2.0392661377343968E-2</v>
      </c>
      <c r="C95" s="14">
        <v>8.9182678571415597E-3</v>
      </c>
      <c r="D95" s="14">
        <v>5.8111874999996482E-3</v>
      </c>
      <c r="E95" s="14">
        <v>0</v>
      </c>
      <c r="F95" s="14">
        <v>1.0765470588233517E-2</v>
      </c>
      <c r="G95" s="14">
        <v>1.5449499999998673E-2</v>
      </c>
      <c r="H95" s="14">
        <v>1.2905749999998883E-2</v>
      </c>
      <c r="I95" s="14">
        <v>1.4714574999997287E-2</v>
      </c>
      <c r="J95" s="14">
        <v>2.7644732142853901E-2</v>
      </c>
      <c r="K95" s="14">
        <v>2.7301531249998345E-2</v>
      </c>
      <c r="L95" s="14">
        <v>2.5778291666665343E-2</v>
      </c>
      <c r="M95" s="14">
        <v>3.702892934782448E-2</v>
      </c>
      <c r="N95" s="14">
        <v>5.102615972221991E-2</v>
      </c>
      <c r="O95" s="14">
        <v>1.806363499999708E-2</v>
      </c>
      <c r="P95" s="14">
        <v>7.8449671052616687E-3</v>
      </c>
      <c r="Q95" s="14">
        <v>4.2298092105248486E-3</v>
      </c>
      <c r="R95" s="14">
        <v>3.0922519870366927E-2</v>
      </c>
      <c r="S95" s="14">
        <v>4.1450782608693393E-2</v>
      </c>
      <c r="T95" s="14">
        <v>9.3071874999998694E-3</v>
      </c>
      <c r="U95" s="14">
        <v>3.0724598958331018E-2</v>
      </c>
      <c r="V95" s="14">
        <v>2.1963312499994614E-2</v>
      </c>
      <c r="W95" s="14">
        <v>3.9805983695650027E-2</v>
      </c>
      <c r="X95" s="14">
        <v>3.0509336538453946E-2</v>
      </c>
      <c r="Y95" s="14">
        <v>2.189287019230246E-2</v>
      </c>
      <c r="Z95" s="14">
        <v>2.5366679999995756E-2</v>
      </c>
      <c r="AA95" s="14">
        <v>4.7413951923069131E-2</v>
      </c>
      <c r="AB95" s="14">
        <v>4.2505552884607722E-2</v>
      </c>
      <c r="AC95" s="14">
        <v>3.7726047411788866E-2</v>
      </c>
      <c r="AD95" s="14">
        <v>2.6512432692300525E-2</v>
      </c>
      <c r="AE95" s="14">
        <v>3.9538961538453932E-2</v>
      </c>
      <c r="AF95">
        <v>3.8432415275014731E-2</v>
      </c>
      <c r="AG95">
        <v>3.2628655169776866E-2</v>
      </c>
      <c r="AH95">
        <v>2.3471853260866093E-2</v>
      </c>
      <c r="AI95">
        <v>3.575624137642941E-2</v>
      </c>
      <c r="AJ95">
        <v>2.4301417897275746E-2</v>
      </c>
      <c r="AK95">
        <v>3.8537197205601337E-2</v>
      </c>
      <c r="AL95">
        <v>3.5865541655568878E-2</v>
      </c>
      <c r="AM95">
        <v>3.5863863141928576E-2</v>
      </c>
      <c r="AN95">
        <v>5.7658318810641429E-2</v>
      </c>
      <c r="AO95">
        <v>2.3476927761791944E-2</v>
      </c>
      <c r="AP95">
        <v>3.9281929516999159E-2</v>
      </c>
    </row>
    <row r="96" spans="1:42" x14ac:dyDescent="0.2">
      <c r="A96">
        <v>-0.15042700000000001</v>
      </c>
      <c r="B96">
        <v>2.1506039748654338E-2</v>
      </c>
      <c r="C96" s="14">
        <v>1.0457303571427046E-2</v>
      </c>
      <c r="D96" s="14">
        <v>6.6588124999994447E-3</v>
      </c>
      <c r="E96" s="14">
        <v>2.1898749999993417E-4</v>
      </c>
      <c r="F96" s="14">
        <v>4.932941176468808E-3</v>
      </c>
      <c r="G96" s="14">
        <v>1.9725299999998391E-2</v>
      </c>
      <c r="H96" s="14">
        <v>1.1375249999998782E-2</v>
      </c>
      <c r="I96" s="14">
        <v>1.0266224999997409E-2</v>
      </c>
      <c r="J96" s="14">
        <v>3.7962351190472754E-2</v>
      </c>
      <c r="K96" s="14">
        <v>2.8796718749998285E-2</v>
      </c>
      <c r="L96" s="14">
        <v>2.9928708333331833E-2</v>
      </c>
      <c r="M96" s="14">
        <v>2.9575027173911306E-2</v>
      </c>
      <c r="N96" s="14">
        <v>3.7470229166664204E-2</v>
      </c>
      <c r="O96" s="14">
        <v>3.1374564999997023E-2</v>
      </c>
      <c r="P96" s="14">
        <v>1.5377927631577415E-2</v>
      </c>
      <c r="Q96" s="14">
        <v>1.7793980263156373E-2</v>
      </c>
      <c r="R96" s="14">
        <v>3.6446263653567568E-2</v>
      </c>
      <c r="S96" s="14">
        <v>4.7869913043475987E-2</v>
      </c>
      <c r="T96" s="14">
        <v>4.8843124999998766E-3</v>
      </c>
      <c r="U96" s="14">
        <v>3.3354776041664314E-2</v>
      </c>
      <c r="V96" s="14">
        <v>1.4424302884609941E-2</v>
      </c>
      <c r="W96" s="14">
        <v>3.352705978260645E-2</v>
      </c>
      <c r="X96" s="14">
        <v>3.1720817307684557E-2</v>
      </c>
      <c r="Y96" s="14">
        <v>2.1074399038456204E-2</v>
      </c>
      <c r="Z96" s="14">
        <v>2.9736199999995661E-2</v>
      </c>
      <c r="AA96" s="14">
        <v>4.8692971153838249E-2</v>
      </c>
      <c r="AB96" s="14">
        <v>4.8384831730761468E-2</v>
      </c>
      <c r="AC96" s="14">
        <v>3.9974607756572578E-2</v>
      </c>
      <c r="AD96" s="14">
        <v>2.9470259615377359E-2</v>
      </c>
      <c r="AE96" s="14">
        <v>4.4897576923069227E-2</v>
      </c>
      <c r="AF96">
        <v>4.2935939468191076E-2</v>
      </c>
      <c r="AG96">
        <v>3.6262034480064043E-2</v>
      </c>
      <c r="AH96">
        <v>2.4624538043474753E-2</v>
      </c>
      <c r="AI96">
        <v>3.8444275859125021E-2</v>
      </c>
      <c r="AJ96">
        <v>2.8416269459072552E-2</v>
      </c>
      <c r="AK96">
        <v>3.8868721187306554E-2</v>
      </c>
      <c r="AL96">
        <v>3.617592498884048E-2</v>
      </c>
      <c r="AM96">
        <v>4.0417949078057847E-2</v>
      </c>
      <c r="AN96">
        <v>5.8918167410580091E-2</v>
      </c>
      <c r="AO96">
        <v>2.5722162608426857E-2</v>
      </c>
      <c r="AP96">
        <v>4.235894514032168E-2</v>
      </c>
    </row>
    <row r="97" spans="1:42" x14ac:dyDescent="0.2">
      <c r="A97">
        <v>-0.145592</v>
      </c>
      <c r="B97">
        <v>2.3658418175238505E-2</v>
      </c>
      <c r="C97" s="14">
        <v>1.2433339285712663E-2</v>
      </c>
      <c r="D97" s="14">
        <v>1.3814374999993051E-3</v>
      </c>
      <c r="E97" s="14">
        <v>3.7189624999998117E-3</v>
      </c>
      <c r="F97" s="14">
        <v>6.7574117647039023E-3</v>
      </c>
      <c r="G97" s="14">
        <v>2.334609999999826E-2</v>
      </c>
      <c r="H97" s="14">
        <v>2.493774999999876E-2</v>
      </c>
      <c r="I97" s="14">
        <v>1.7629874999997242E-2</v>
      </c>
      <c r="J97" s="14">
        <v>4.1553720238091674E-2</v>
      </c>
      <c r="K97" s="14">
        <v>2.2417906249998287E-2</v>
      </c>
      <c r="L97" s="14">
        <v>3.9001124999998305E-2</v>
      </c>
      <c r="M97" s="14">
        <v>3.0980124999998193E-2</v>
      </c>
      <c r="N97" s="14">
        <v>3.8460298611108557E-2</v>
      </c>
      <c r="O97" s="14">
        <v>4.1841494999996953E-2</v>
      </c>
      <c r="P97" s="14">
        <v>2.7065888157893181E-2</v>
      </c>
      <c r="Q97" s="14">
        <v>2.5998151315787921E-2</v>
      </c>
      <c r="R97" s="14">
        <v>4.2079010264902905E-2</v>
      </c>
      <c r="S97" s="14">
        <v>4.8054043478258535E-2</v>
      </c>
      <c r="T97" s="14">
        <v>1.3364374999998985E-3</v>
      </c>
      <c r="U97" s="14">
        <v>4.2657953124997594E-2</v>
      </c>
      <c r="V97" s="14">
        <v>1.1916293269225164E-2</v>
      </c>
      <c r="W97" s="14">
        <v>3.3591135869562971E-2</v>
      </c>
      <c r="X97" s="14">
        <v>3.8837298076915161E-2</v>
      </c>
      <c r="Y97" s="14">
        <v>2.6162927884609999E-2</v>
      </c>
      <c r="Z97" s="14">
        <v>3.4105719999995676E-2</v>
      </c>
      <c r="AA97" s="14">
        <v>4.9043740384607459E-2</v>
      </c>
      <c r="AB97" s="14">
        <v>5.0764110576915322E-2</v>
      </c>
      <c r="AC97" s="14">
        <v>4.2415168101362255E-2</v>
      </c>
      <c r="AD97" s="14">
        <v>2.8927086538454216E-2</v>
      </c>
      <c r="AE97" s="14">
        <v>4.2601192307684554E-2</v>
      </c>
      <c r="AF97">
        <v>4.5689463661490071E-2</v>
      </c>
      <c r="AG97">
        <v>3.9376413790359166E-2</v>
      </c>
      <c r="AH97">
        <v>2.9278222826083389E-2</v>
      </c>
      <c r="AI97">
        <v>4.2008310341829391E-2</v>
      </c>
      <c r="AJ97">
        <v>3.2641121021042663E-2</v>
      </c>
      <c r="AK97">
        <v>4.1825746281971554E-2</v>
      </c>
      <c r="AL97">
        <v>4.1298308322142763E-2</v>
      </c>
      <c r="AM97">
        <v>3.9065035014524851E-2</v>
      </c>
      <c r="AN97">
        <v>6.1436516946610786E-2</v>
      </c>
      <c r="AO97">
        <v>2.7201397455672849E-2</v>
      </c>
      <c r="AP97">
        <v>4.4123960764057557E-2</v>
      </c>
    </row>
    <row r="98" spans="1:42" x14ac:dyDescent="0.2">
      <c r="A98">
        <v>-0.14075699999999999</v>
      </c>
      <c r="B98">
        <v>2.6029739093637039E-2</v>
      </c>
      <c r="C98" s="14">
        <v>8.7220692386648091E-3</v>
      </c>
      <c r="D98" s="14">
        <v>1.0103792485264496E-2</v>
      </c>
      <c r="E98" s="14">
        <v>9.4056660712434903E-3</v>
      </c>
      <c r="F98" s="14">
        <v>1.208067495605214E-2</v>
      </c>
      <c r="G98" s="14">
        <v>2.4122690207836084E-2</v>
      </c>
      <c r="H98" s="14">
        <v>3.1062046427462187E-2</v>
      </c>
      <c r="I98" s="14">
        <v>2.9368370483918271E-2</v>
      </c>
      <c r="J98" s="14">
        <v>3.8362914930987979E-2</v>
      </c>
      <c r="K98" s="14">
        <v>1.7788948564004037E-2</v>
      </c>
      <c r="L98" s="14">
        <v>5.1135428885325407E-2</v>
      </c>
      <c r="M98" s="14">
        <v>3.5229121900750227E-2</v>
      </c>
      <c r="N98" s="14">
        <v>4.2076277265074014E-2</v>
      </c>
      <c r="O98" s="14">
        <v>3.4808279672212894E-2</v>
      </c>
      <c r="P98" s="14">
        <v>3.2848708059634135E-2</v>
      </c>
      <c r="Q98" s="14">
        <v>2.9062175270340052E-2</v>
      </c>
      <c r="R98" s="14">
        <v>3.9289621008316178E-2</v>
      </c>
      <c r="S98" s="14">
        <v>4.3863045636211684E-2</v>
      </c>
      <c r="T98" s="14">
        <v>0</v>
      </c>
      <c r="U98" s="14">
        <v>4.5398016818966658E-2</v>
      </c>
      <c r="V98" s="14">
        <v>1.0064198451152917E-2</v>
      </c>
      <c r="W98" s="14">
        <v>3.4530089886615267E-2</v>
      </c>
      <c r="X98" s="14">
        <v>3.9390671024784607E-2</v>
      </c>
      <c r="Y98" s="14">
        <v>2.8625352008974592E-2</v>
      </c>
      <c r="Z98" s="14">
        <v>3.2131149806634229E-2</v>
      </c>
      <c r="AA98" s="14">
        <v>5.1362926479236126E-2</v>
      </c>
      <c r="AB98" s="14">
        <v>4.8658306015001429E-2</v>
      </c>
      <c r="AC98" s="14">
        <v>4.7807641869777984E-2</v>
      </c>
      <c r="AD98" s="14">
        <v>2.641582842239748E-2</v>
      </c>
      <c r="AE98" s="14">
        <v>4.2163722870906917E-2</v>
      </c>
      <c r="AF98">
        <v>5.0411834172554015E-2</v>
      </c>
      <c r="AG98">
        <v>4.3310673083119533E-2</v>
      </c>
      <c r="AH98">
        <v>3.2399780130417777E-2</v>
      </c>
      <c r="AI98">
        <v>4.2727222808490173E-2</v>
      </c>
      <c r="AJ98">
        <v>3.3584855953493364E-2</v>
      </c>
      <c r="AK98">
        <v>4.4071380896883783E-2</v>
      </c>
      <c r="AL98">
        <v>4.1388562538355989E-2</v>
      </c>
      <c r="AM98">
        <v>4.4930998622416451E-2</v>
      </c>
      <c r="AN98">
        <v>5.9579703279730167E-2</v>
      </c>
      <c r="AO98">
        <v>2.8462550138565579E-2</v>
      </c>
      <c r="AP98">
        <v>4.7746862541887536E-2</v>
      </c>
    </row>
    <row r="99" spans="1:42" x14ac:dyDescent="0.2">
      <c r="A99">
        <v>-0.13592099999999999</v>
      </c>
      <c r="B99">
        <v>2.6705232754813846E-2</v>
      </c>
      <c r="C99" s="14">
        <v>9.8247164756175565E-3</v>
      </c>
      <c r="D99" s="14">
        <v>1.0951957514733879E-2</v>
      </c>
      <c r="E99" s="14">
        <v>1.3781183928755714E-2</v>
      </c>
      <c r="F99" s="14">
        <v>1.9155560338061428E-2</v>
      </c>
      <c r="G99" s="14">
        <v>1.7024909792160425E-2</v>
      </c>
      <c r="H99" s="14">
        <v>3.3030953572535104E-2</v>
      </c>
      <c r="I99" s="14">
        <v>3.8919329516076351E-2</v>
      </c>
      <c r="J99" s="14">
        <v>2.379863268805249E-2</v>
      </c>
      <c r="K99" s="14">
        <v>1.4909426435992468E-2</v>
      </c>
      <c r="L99" s="14">
        <v>4.8395071114670785E-2</v>
      </c>
      <c r="M99" s="14">
        <v>3.9259421577506781E-2</v>
      </c>
      <c r="N99" s="14">
        <v>5.1050528290476183E-2</v>
      </c>
      <c r="O99" s="14">
        <v>2.8869500327781072E-2</v>
      </c>
      <c r="P99" s="14">
        <v>3.4911949835099543E-2</v>
      </c>
      <c r="Q99" s="14">
        <v>2.370464051913046E-2</v>
      </c>
      <c r="R99" s="14">
        <v>3.3329650066822147E-2</v>
      </c>
      <c r="S99" s="14">
        <v>3.9891432624653111E-2</v>
      </c>
      <c r="T99" s="14">
        <v>1.0901735183695971E-3</v>
      </c>
      <c r="U99" s="14">
        <v>4.2122420681028505E-2</v>
      </c>
      <c r="V99" s="14">
        <v>1.2149359241143576E-2</v>
      </c>
      <c r="W99" s="14">
        <v>3.8094410113380217E-2</v>
      </c>
      <c r="X99" s="14">
        <v>4.3117367436737886E-2</v>
      </c>
      <c r="Y99" s="14">
        <v>2.8245090298706865E-2</v>
      </c>
      <c r="Z99" s="14">
        <v>2.840685019335748E-2</v>
      </c>
      <c r="AA99" s="14">
        <v>4.8705111982286498E-2</v>
      </c>
      <c r="AB99" s="14">
        <v>4.5677751677290768E-2</v>
      </c>
      <c r="AC99" s="14">
        <v>4.8389375367340393E-2</v>
      </c>
      <c r="AD99" s="14">
        <v>2.5435825423741787E-2</v>
      </c>
      <c r="AE99" s="14">
        <v>4.3804507898308476E-2</v>
      </c>
      <c r="AF99">
        <v>5.1634665730819651E-2</v>
      </c>
      <c r="AG99">
        <v>4.5304292428516191E-2</v>
      </c>
      <c r="AH99">
        <v>3.3115719869575344E-2</v>
      </c>
      <c r="AI99">
        <v>4.3665501323316591E-2</v>
      </c>
      <c r="AJ99">
        <v>3.4199940775205218E-2</v>
      </c>
      <c r="AK99">
        <v>4.7082941266611056E-2</v>
      </c>
      <c r="AL99">
        <v>4.3668204105959507E-2</v>
      </c>
      <c r="AM99">
        <v>4.6969329217405265E-2</v>
      </c>
      <c r="AN99">
        <v>6.4066382878010475E-2</v>
      </c>
      <c r="AO99">
        <v>2.8958949316984839E-2</v>
      </c>
      <c r="AP99">
        <v>5.0278105859112632E-2</v>
      </c>
    </row>
    <row r="100" spans="1:42" x14ac:dyDescent="0.2">
      <c r="A100">
        <v>-0.13108599999999998</v>
      </c>
      <c r="B100">
        <v>2.7818553781250921E-2</v>
      </c>
      <c r="C100" s="14">
        <v>1.136344642856979E-2</v>
      </c>
      <c r="D100" s="14">
        <v>1.5299312499999163E-2</v>
      </c>
      <c r="E100" s="14">
        <v>1.1155887499999517E-2</v>
      </c>
      <c r="F100" s="14">
        <v>2.2947823529409717E-2</v>
      </c>
      <c r="G100" s="14">
        <v>1.5175499999998232E-2</v>
      </c>
      <c r="H100" s="14">
        <v>2.5812249999998704E-2</v>
      </c>
      <c r="I100" s="14">
        <v>3.27208249999974E-2</v>
      </c>
      <c r="J100" s="14">
        <v>2.1045827380948734E-2</v>
      </c>
      <c r="K100" s="14">
        <v>2.0561468749998202E-2</v>
      </c>
      <c r="L100" s="14">
        <v>3.7998374999997919E-2</v>
      </c>
      <c r="M100" s="14">
        <v>4.3618418478258758E-2</v>
      </c>
      <c r="N100" s="14">
        <v>5.444750694444167E-2</v>
      </c>
      <c r="O100" s="14">
        <v>2.1180284999996968E-2</v>
      </c>
      <c r="P100" s="14">
        <v>2.3850769736840527E-2</v>
      </c>
      <c r="Q100" s="14">
        <v>1.4846664473682658E-2</v>
      </c>
      <c r="R100" s="14">
        <v>3.0212266004590038E-2</v>
      </c>
      <c r="S100" s="14">
        <v>3.4825434782606302E-2</v>
      </c>
      <c r="T100" s="14">
        <v>0</v>
      </c>
      <c r="U100" s="14">
        <v>3.3049484374997551E-2</v>
      </c>
      <c r="V100" s="14">
        <v>1.2703264423071237E-2</v>
      </c>
      <c r="W100" s="14">
        <v>3.8486364130432549E-2</v>
      </c>
      <c r="X100" s="14">
        <v>3.7327740384607344E-2</v>
      </c>
      <c r="Y100" s="14">
        <v>2.5020514423071516E-2</v>
      </c>
      <c r="Z100" s="14">
        <v>2.5120279999995998E-2</v>
      </c>
      <c r="AA100" s="14">
        <v>4.7360048076915295E-2</v>
      </c>
      <c r="AB100" s="14">
        <v>4.4556947115376944E-2</v>
      </c>
      <c r="AC100" s="14">
        <v>5.2250849135768607E-2</v>
      </c>
      <c r="AD100" s="14">
        <v>2.467456730768508E-2</v>
      </c>
      <c r="AE100" s="14">
        <v>4.1726038461530834E-2</v>
      </c>
      <c r="AF100">
        <v>5.1326036242131612E-2</v>
      </c>
      <c r="AG100">
        <v>4.4344551721293035E-2</v>
      </c>
      <c r="AH100">
        <v>3.1862277173909714E-2</v>
      </c>
      <c r="AI100">
        <v>4.8103413789995386E-2</v>
      </c>
      <c r="AJ100">
        <v>3.61276757080084E-2</v>
      </c>
      <c r="AK100">
        <v>4.8508827999973692E-2</v>
      </c>
      <c r="AL100">
        <v>4.3977458322233876E-2</v>
      </c>
      <c r="AM100">
        <v>4.4741292825983714E-2</v>
      </c>
      <c r="AN100">
        <v>6.5272571012698566E-2</v>
      </c>
      <c r="AO100">
        <v>2.9454102001110816E-2</v>
      </c>
      <c r="AP100">
        <v>5.1714007637783443E-2</v>
      </c>
    </row>
    <row r="101" spans="1:42" x14ac:dyDescent="0.2">
      <c r="A101">
        <v>-0.126251</v>
      </c>
      <c r="B101">
        <v>2.7947932423912025E-2</v>
      </c>
      <c r="C101" s="14">
        <v>1.6402482142855335E-2</v>
      </c>
      <c r="D101" s="14">
        <v>1.2208937499998962E-2</v>
      </c>
      <c r="E101" s="14">
        <v>6.7808624999994294E-3</v>
      </c>
      <c r="F101" s="14">
        <v>1.4928294117645069E-2</v>
      </c>
      <c r="G101" s="14">
        <v>2.2515299999998128E-2</v>
      </c>
      <c r="H101" s="14">
        <v>1.9249749999998678E-2</v>
      </c>
      <c r="I101" s="14">
        <v>1.9521474999997512E-2</v>
      </c>
      <c r="J101" s="14">
        <v>2.3762196428567695E-2</v>
      </c>
      <c r="K101" s="14">
        <v>3.0588656249998236E-2</v>
      </c>
      <c r="L101" s="14">
        <v>2.3007791666664446E-2</v>
      </c>
      <c r="M101" s="14">
        <v>3.6382516304345691E-2</v>
      </c>
      <c r="N101" s="14">
        <v>4.7562576388885947E-2</v>
      </c>
      <c r="O101" s="14">
        <v>1.7429214999997E-2</v>
      </c>
      <c r="P101" s="14">
        <v>1.5414730263156262E-2</v>
      </c>
      <c r="Q101" s="14">
        <v>7.7388355263142139E-3</v>
      </c>
      <c r="R101" s="14">
        <v>3.2126023004634519E-2</v>
      </c>
      <c r="S101" s="14">
        <v>3.8619565217388907E-2</v>
      </c>
      <c r="T101" s="14">
        <v>2.7718913461538097E-2</v>
      </c>
      <c r="U101" s="14">
        <v>2.8461661458330845E-2</v>
      </c>
      <c r="V101" s="14">
        <v>1.0195254807686571E-2</v>
      </c>
      <c r="W101" s="14">
        <v>3.8332440217389019E-2</v>
      </c>
      <c r="X101" s="14">
        <v>3.1101221153838177E-2</v>
      </c>
      <c r="Y101" s="14">
        <v>2.1577043269225327E-2</v>
      </c>
      <c r="Z101" s="14">
        <v>2.3583799999996047E-2</v>
      </c>
      <c r="AA101" s="14">
        <v>5.2030067307684613E-2</v>
      </c>
      <c r="AB101" s="14">
        <v>4.6935225961530935E-2</v>
      </c>
      <c r="AC101" s="14">
        <v>4.4409409480583362E-2</v>
      </c>
      <c r="AD101" s="14">
        <v>2.6975394230762173E-2</v>
      </c>
      <c r="AE101" s="14">
        <v>4.1397653846146354E-2</v>
      </c>
      <c r="AF101">
        <v>5.2985560435926726E-2</v>
      </c>
      <c r="AG101">
        <v>4.5243931031620943E-2</v>
      </c>
      <c r="AH101">
        <v>3.3015961956518458E-2</v>
      </c>
      <c r="AI101">
        <v>4.8276448272735473E-2</v>
      </c>
      <c r="AJ101">
        <v>3.8274527270683423E-2</v>
      </c>
      <c r="AK101">
        <v>4.8402857331539706E-2</v>
      </c>
      <c r="AL101">
        <v>4.5380841655658699E-2</v>
      </c>
      <c r="AM101">
        <v>4.9076378763824646E-2</v>
      </c>
      <c r="AN101">
        <v>6.385292415186683E-2</v>
      </c>
      <c r="AO101">
        <v>3.082433685082353E-2</v>
      </c>
      <c r="AP101">
        <v>4.9541023263200867E-2</v>
      </c>
    </row>
    <row r="102" spans="1:42" x14ac:dyDescent="0.2">
      <c r="A102">
        <v>-0.121416</v>
      </c>
      <c r="B102">
        <v>2.8514311118637059E-2</v>
      </c>
      <c r="C102" s="14">
        <v>1.3566517857141025E-2</v>
      </c>
      <c r="D102" s="14">
        <v>1.0431562499998992E-2</v>
      </c>
      <c r="E102" s="14">
        <v>1.9688374999993208E-3</v>
      </c>
      <c r="F102" s="14">
        <v>3.1897647058802825E-3</v>
      </c>
      <c r="G102" s="14">
        <v>2.6354099999998049E-2</v>
      </c>
      <c r="H102" s="14">
        <v>1.8375249999998733E-2</v>
      </c>
      <c r="I102" s="14">
        <v>1.0042124999997515E-2</v>
      </c>
      <c r="J102" s="14">
        <v>3.982156547618676E-2</v>
      </c>
      <c r="K102" s="14">
        <v>3.0989843749998247E-2</v>
      </c>
      <c r="L102" s="14">
        <v>2.7267208333331072E-2</v>
      </c>
      <c r="M102" s="14">
        <v>2.641261413043261E-2</v>
      </c>
      <c r="N102" s="14">
        <v>3.083464583333051E-2</v>
      </c>
      <c r="O102" s="14">
        <v>2.3740144999996993E-2</v>
      </c>
      <c r="P102" s="14">
        <v>1.31036907894721E-2</v>
      </c>
      <c r="Q102" s="14">
        <v>1.2662006578945784E-2</v>
      </c>
      <c r="R102" s="14">
        <v>3.3602782349550719E-2</v>
      </c>
      <c r="S102" s="14">
        <v>3.9569695652171499E-2</v>
      </c>
      <c r="T102" s="14">
        <v>6.1568317307691856E-2</v>
      </c>
      <c r="U102" s="14">
        <v>2.9342838541664196E-2</v>
      </c>
      <c r="V102" s="14">
        <v>2.4311995192302094E-2</v>
      </c>
      <c r="W102" s="14">
        <v>2.6474516304345608E-2</v>
      </c>
      <c r="X102" s="14">
        <v>2.8811701923068977E-2</v>
      </c>
      <c r="Y102" s="14">
        <v>2.0540572115379296E-2</v>
      </c>
      <c r="Z102" s="14">
        <v>2.1609319999996157E-2</v>
      </c>
      <c r="AA102" s="14">
        <v>4.5435086538454017E-2</v>
      </c>
      <c r="AB102" s="14">
        <v>4.6580504807684942E-2</v>
      </c>
      <c r="AC102" s="14">
        <v>3.5146969825404439E-2</v>
      </c>
      <c r="AD102" s="14">
        <v>2.9932721153839215E-2</v>
      </c>
      <c r="AE102" s="14">
        <v>4.0413269230761883E-2</v>
      </c>
      <c r="AF102">
        <v>5.3060084629844684E-2</v>
      </c>
      <c r="AG102">
        <v>4.5159310341957193E-2</v>
      </c>
      <c r="AH102">
        <v>3.1762646739127209E-2</v>
      </c>
      <c r="AI102">
        <v>4.4948482755484798E-2</v>
      </c>
      <c r="AJ102">
        <v>3.6264378833534228E-2</v>
      </c>
      <c r="AK102">
        <v>4.8953887658273354E-2</v>
      </c>
      <c r="AL102">
        <v>4.4160224989113539E-2</v>
      </c>
      <c r="AM102">
        <v>4.5645464702008587E-2</v>
      </c>
      <c r="AN102">
        <v>6.5933278147328966E-2</v>
      </c>
      <c r="AO102">
        <v>2.9460571701147242E-2</v>
      </c>
      <c r="AP102">
        <v>4.7587038889037703E-2</v>
      </c>
    </row>
    <row r="103" spans="1:42" x14ac:dyDescent="0.2">
      <c r="A103">
        <v>-0.11658099999999999</v>
      </c>
      <c r="B103">
        <v>2.8643689865425925E-2</v>
      </c>
      <c r="C103" s="14">
        <v>1.1605553571426785E-2</v>
      </c>
      <c r="D103" s="14">
        <v>4.7171874999989427E-3</v>
      </c>
      <c r="E103" s="14">
        <v>4.1568124999993294E-3</v>
      </c>
      <c r="F103" s="14">
        <v>3.9192352941156416E-3</v>
      </c>
      <c r="G103" s="14">
        <v>1.8380899999998035E-2</v>
      </c>
      <c r="H103" s="14">
        <v>2.0562749999998686E-2</v>
      </c>
      <c r="I103" s="14">
        <v>1.6530774999997666E-2</v>
      </c>
      <c r="J103" s="14">
        <v>4.3631934523805871E-2</v>
      </c>
      <c r="K103" s="14">
        <v>2.0455031249998257E-2</v>
      </c>
      <c r="L103" s="14">
        <v>3.7979624999997741E-2</v>
      </c>
      <c r="M103" s="14">
        <v>1.9286711956519487E-2</v>
      </c>
      <c r="N103" s="14">
        <v>2.0231715277774898E-2</v>
      </c>
      <c r="O103" s="14">
        <v>3.1582074999997045E-2</v>
      </c>
      <c r="P103" s="14">
        <v>2.1510651315787888E-2</v>
      </c>
      <c r="Q103" s="14">
        <v>2.2835177631577386E-2</v>
      </c>
      <c r="R103" s="14">
        <v>3.3548544039338435E-2</v>
      </c>
      <c r="S103" s="14">
        <v>3.9425826086954163E-2</v>
      </c>
      <c r="T103" s="14">
        <v>4.8659721153845592E-2</v>
      </c>
      <c r="U103" s="14">
        <v>3.6239015624997595E-2</v>
      </c>
      <c r="V103" s="14">
        <v>3.5694235576917532E-2</v>
      </c>
      <c r="W103" s="14">
        <v>2.1726592391302146E-2</v>
      </c>
      <c r="X103" s="14">
        <v>3.3303182692299871E-2</v>
      </c>
      <c r="Y103" s="14">
        <v>2.0159100961533116E-2</v>
      </c>
      <c r="Z103" s="14">
        <v>2.1166839999996301E-2</v>
      </c>
      <c r="AA103" s="14">
        <v>4.846510576922336E-2</v>
      </c>
      <c r="AB103" s="14">
        <v>4.1739783653838847E-2</v>
      </c>
      <c r="AC103" s="14">
        <v>3.3649530170231923E-2</v>
      </c>
      <c r="AD103" s="14">
        <v>3.3546048076916246E-2</v>
      </c>
      <c r="AE103" s="14">
        <v>3.7897884615377408E-2</v>
      </c>
      <c r="AF103">
        <v>5.1493608823885428E-2</v>
      </c>
      <c r="AG103">
        <v>4.6167689652301891E-2</v>
      </c>
      <c r="AH103">
        <v>3.3791331521735968E-2</v>
      </c>
      <c r="AI103">
        <v>4.5996517238243273E-2</v>
      </c>
      <c r="AJ103">
        <v>3.5895230396560784E-2</v>
      </c>
      <c r="AK103">
        <v>4.8628918980174518E-2</v>
      </c>
      <c r="AL103">
        <v>4.3594608322598538E-2</v>
      </c>
      <c r="AM103">
        <v>4.3964550640535061E-2</v>
      </c>
      <c r="AN103">
        <v>6.5388632999085372E-2</v>
      </c>
      <c r="AO103">
        <v>3.072180655208212E-2</v>
      </c>
      <c r="AP103">
        <v>4.6726054515293991E-2</v>
      </c>
    </row>
    <row r="104" spans="1:42" x14ac:dyDescent="0.2">
      <c r="A104">
        <v>-0.111746</v>
      </c>
      <c r="B104">
        <v>2.9647011099764475E-2</v>
      </c>
      <c r="C104" s="14">
        <v>7.019283524378972E-3</v>
      </c>
      <c r="D104" s="14">
        <v>7.7515424852641068E-3</v>
      </c>
      <c r="E104" s="14">
        <v>9.8435160712432301E-3</v>
      </c>
      <c r="F104" s="14">
        <v>1.3399498485464068E-2</v>
      </c>
      <c r="G104" s="14">
        <v>1.7625490207835992E-2</v>
      </c>
      <c r="H104" s="14">
        <v>2.8000046427462288E-2</v>
      </c>
      <c r="I104" s="14">
        <v>3.3956270483918638E-2</v>
      </c>
      <c r="J104" s="14">
        <v>3.4972129216702119E-2</v>
      </c>
      <c r="K104" s="14">
        <v>1.1669073564004095E-2</v>
      </c>
      <c r="L104" s="14">
        <v>4.8801928885324863E-2</v>
      </c>
      <c r="M104" s="14">
        <v>2.5176708857271579E-2</v>
      </c>
      <c r="N104" s="14">
        <v>3.390969393174037E-2</v>
      </c>
      <c r="O104" s="14">
        <v>3.5705859672212958E-2</v>
      </c>
      <c r="P104" s="14">
        <v>3.5387471217528887E-2</v>
      </c>
      <c r="Q104" s="14">
        <v>3.2024201586129564E-2</v>
      </c>
      <c r="R104" s="14">
        <v>2.9993169346229254E-2</v>
      </c>
      <c r="S104" s="14">
        <v>3.5671828244907389E-2</v>
      </c>
      <c r="T104" s="14">
        <v>4.986105725086043E-2</v>
      </c>
      <c r="U104" s="14">
        <v>3.8541079318966665E-2</v>
      </c>
      <c r="V104" s="14">
        <v>3.8655140758845352E-2</v>
      </c>
      <c r="W104" s="14">
        <v>2.4196546408354502E-2</v>
      </c>
      <c r="X104" s="14">
        <v>3.7357555640169515E-2</v>
      </c>
      <c r="Y104" s="14">
        <v>2.5903525085897883E-2</v>
      </c>
      <c r="Z104" s="14">
        <v>2.9528269806634644E-2</v>
      </c>
      <c r="AA104" s="14">
        <v>4.4495041863852225E-2</v>
      </c>
      <c r="AB104" s="14">
        <v>3.5915979091925176E-2</v>
      </c>
      <c r="AC104" s="14">
        <v>3.8168003938685691E-2</v>
      </c>
      <c r="AD104" s="14">
        <v>3.453478996085968E-2</v>
      </c>
      <c r="AE104" s="14">
        <v>3.9757415178599875E-2</v>
      </c>
      <c r="AF104">
        <v>5.6434979335686974E-2</v>
      </c>
      <c r="AG104">
        <v>4.7942948945112418E-2</v>
      </c>
      <c r="AH104">
        <v>3.4506888826070392E-2</v>
      </c>
      <c r="AI104">
        <v>4.8356429704958792E-2</v>
      </c>
      <c r="AJ104">
        <v>3.6072965330065543E-2</v>
      </c>
      <c r="AK104">
        <v>5.0929809689050032E-2</v>
      </c>
      <c r="AL104">
        <v>4.6747862538992768E-2</v>
      </c>
      <c r="AM104">
        <v>4.6549514250480817E-2</v>
      </c>
      <c r="AN104">
        <v>6.7031824554319774E-2</v>
      </c>
      <c r="AO104">
        <v>3.1435959238646949E-2</v>
      </c>
      <c r="AP104">
        <v>4.7724956295637888E-2</v>
      </c>
    </row>
    <row r="105" spans="1:42" x14ac:dyDescent="0.2">
      <c r="A105">
        <v>-0.10690999999999999</v>
      </c>
      <c r="B105">
        <v>3.0870255072681263E-2</v>
      </c>
      <c r="C105" s="14">
        <v>1.2496930761331959E-2</v>
      </c>
      <c r="D105" s="14">
        <v>1.3412707514733668E-2</v>
      </c>
      <c r="E105" s="14">
        <v>1.2032033928755292E-2</v>
      </c>
      <c r="F105" s="14">
        <v>1.8505383867473302E-2</v>
      </c>
      <c r="G105" s="14">
        <v>1.2933709792160242E-2</v>
      </c>
      <c r="H105" s="14">
        <v>2.6687953572535228E-2</v>
      </c>
      <c r="I105" s="14">
        <v>3.7601229516076751E-2</v>
      </c>
      <c r="J105" s="14">
        <v>2.237684697376674E-2</v>
      </c>
      <c r="K105" s="14">
        <v>1.0977551435992494E-2</v>
      </c>
      <c r="L105" s="14">
        <v>4.5405571114670251E-2</v>
      </c>
      <c r="M105" s="14">
        <v>3.4019008534028172E-2</v>
      </c>
      <c r="N105" s="14">
        <v>4.1571944957142781E-2</v>
      </c>
      <c r="O105" s="14">
        <v>2.5610080327781226E-2</v>
      </c>
      <c r="P105" s="14">
        <v>3.3513712992994327E-2</v>
      </c>
      <c r="Q105" s="14">
        <v>2.6884666834920079E-2</v>
      </c>
      <c r="R105" s="14">
        <v>2.3486212456143296E-2</v>
      </c>
      <c r="S105" s="14">
        <v>3.1591215233348846E-2</v>
      </c>
      <c r="T105" s="14">
        <v>5.6311596595292168E-2</v>
      </c>
      <c r="U105" s="14">
        <v>3.3406483181028512E-2</v>
      </c>
      <c r="V105" s="14">
        <v>4.4240301548835959E-2</v>
      </c>
      <c r="W105" s="14">
        <v>3.7057866635119452E-2</v>
      </c>
      <c r="X105" s="14">
        <v>3.1677252052122962E-2</v>
      </c>
      <c r="Y105" s="14">
        <v>3.2632263375630244E-2</v>
      </c>
      <c r="Z105" s="14">
        <v>3.8764970193358006E-2</v>
      </c>
      <c r="AA105" s="14">
        <v>3.9759227366902794E-2</v>
      </c>
      <c r="AB105" s="14">
        <v>3.5670424754214725E-2</v>
      </c>
      <c r="AC105" s="14">
        <v>4.487373743628631E-2</v>
      </c>
      <c r="AD105" s="14">
        <v>3.3664786962204096E-2</v>
      </c>
      <c r="AE105" s="14">
        <v>3.2867200206001701E-2</v>
      </c>
      <c r="AF105">
        <v>5.5250810894686642E-2</v>
      </c>
      <c r="AG105">
        <v>4.9498568290559319E-2</v>
      </c>
      <c r="AH105">
        <v>3.6753828565227908E-2</v>
      </c>
      <c r="AI105">
        <v>4.9622708219840272E-2</v>
      </c>
      <c r="AJ105">
        <v>3.7016050152828939E-2</v>
      </c>
      <c r="AK105">
        <v>5.3011126020700683E-2</v>
      </c>
      <c r="AL105">
        <v>4.5964504106775994E-2</v>
      </c>
      <c r="AM105">
        <v>4.9352844847519672E-2</v>
      </c>
      <c r="AN105">
        <v>6.6925509282165674E-2</v>
      </c>
      <c r="AO105">
        <v>3.1165358420722045E-2</v>
      </c>
      <c r="AP105">
        <v>5.4740199615371798E-2</v>
      </c>
    </row>
    <row r="106" spans="1:42" x14ac:dyDescent="0.2">
      <c r="A106">
        <v>-0.102075</v>
      </c>
      <c r="B106">
        <v>3.2748852427825603E-2</v>
      </c>
      <c r="C106" s="14">
        <v>1.4910798939159919E-2</v>
      </c>
      <c r="D106" s="14">
        <v>1.8197184564985758E-2</v>
      </c>
      <c r="E106" s="14">
        <v>1.2468860204219667E-2</v>
      </c>
      <c r="F106" s="14">
        <v>2.0766740816291263E-2</v>
      </c>
      <c r="G106" s="14">
        <v>1.4366394840294783E-2</v>
      </c>
      <c r="H106" s="14">
        <v>2.1875342028602418E-2</v>
      </c>
      <c r="I106" s="14">
        <v>2.9652794851753095E-2</v>
      </c>
      <c r="J106" s="14">
        <v>1.5467120486831742E-2</v>
      </c>
      <c r="K106" s="14">
        <v>2.0785659383921962E-2</v>
      </c>
      <c r="L106" s="14">
        <v>3.6539925984817812E-2</v>
      </c>
      <c r="M106" s="14">
        <v>3.7065051059881726E-2</v>
      </c>
      <c r="N106" s="14">
        <v>4.5624964654567002E-2</v>
      </c>
      <c r="O106" s="14">
        <v>2.2733930698019433E-2</v>
      </c>
      <c r="P106" s="14">
        <v>2.3764596466587795E-2</v>
      </c>
      <c r="Q106" s="14">
        <v>1.6276757287788213E-2</v>
      </c>
      <c r="R106" s="14">
        <v>2.2337904532524488E-2</v>
      </c>
      <c r="S106" s="14">
        <v>2.7291275381135571E-2</v>
      </c>
      <c r="T106" s="14">
        <v>6.1122963319516221E-2</v>
      </c>
      <c r="U106" s="14">
        <v>2.8162598134686412E-2</v>
      </c>
      <c r="V106" s="14">
        <v>4.6107245248161566E-2</v>
      </c>
      <c r="W106" s="14">
        <v>3.4606875836053874E-2</v>
      </c>
      <c r="X106" s="14">
        <v>2.5997673742566119E-2</v>
      </c>
      <c r="Y106" s="14">
        <v>2.6235734841351499E-2</v>
      </c>
      <c r="Z106" s="14">
        <v>3.6572440773517734E-2</v>
      </c>
      <c r="AA106" s="14">
        <v>3.2289201044710003E-2</v>
      </c>
      <c r="AB106" s="14">
        <v>3.7830657898408893E-2</v>
      </c>
      <c r="AC106" s="14">
        <v>4.304825034315285E-2</v>
      </c>
      <c r="AD106" s="14">
        <v>3.3668567289607876E-2</v>
      </c>
      <c r="AE106" s="14">
        <v>3.341376911425098E-2</v>
      </c>
      <c r="AF106">
        <v>5.6036250881582372E-2</v>
      </c>
      <c r="AG106">
        <v>4.9959881839461873E-2</v>
      </c>
      <c r="AH106">
        <v>3.4844443498394717E-2</v>
      </c>
      <c r="AI106">
        <v>5.0888675846111231E-2</v>
      </c>
      <c r="AJ106">
        <v>3.7412837811214295E-2</v>
      </c>
      <c r="AK106">
        <v>5.093708256186813E-2</v>
      </c>
      <c r="AL106">
        <v>4.780581669292927E-2</v>
      </c>
      <c r="AM106">
        <v>5.2812863759106876E-2</v>
      </c>
      <c r="AN106">
        <v>7.2724776631395094E-2</v>
      </c>
      <c r="AO106">
        <v>3.0676548252613678E-2</v>
      </c>
      <c r="AP106">
        <v>5.3770152862798626E-2</v>
      </c>
    </row>
    <row r="107" spans="1:42" x14ac:dyDescent="0.2">
      <c r="A107">
        <v>-9.7240536000000002E-2</v>
      </c>
      <c r="B107">
        <v>3.2441159983131851E-2</v>
      </c>
      <c r="C107" s="14">
        <v>2.0824455452458923E-2</v>
      </c>
      <c r="D107" s="14">
        <v>1.5107474696437695E-2</v>
      </c>
      <c r="E107" s="14">
        <v>6.7814985820218165E-3</v>
      </c>
      <c r="F107" s="14">
        <v>1.4277954193769316E-2</v>
      </c>
      <c r="G107" s="14">
        <v>2.1048934658950191E-2</v>
      </c>
      <c r="H107" s="14">
        <v>1.5530589560751928E-2</v>
      </c>
      <c r="I107" s="14">
        <v>1.3610253223044211E-2</v>
      </c>
      <c r="J107" s="14">
        <v>1.7527273302129665E-2</v>
      </c>
      <c r="K107" s="14">
        <v>3.0812666826255386E-2</v>
      </c>
      <c r="L107" s="14">
        <v>1.881520278162363E-2</v>
      </c>
      <c r="M107" s="14">
        <v>3.0267023719761088E-2</v>
      </c>
      <c r="N107" s="14">
        <v>4.4208921501912357E-2</v>
      </c>
      <c r="O107" s="14">
        <v>1.3513680464507072E-2</v>
      </c>
      <c r="P107" s="14">
        <v>1.4890382592246454E-2</v>
      </c>
      <c r="Q107" s="14">
        <v>4.0287459114115576E-3</v>
      </c>
      <c r="R107" s="14">
        <v>2.5673502672597492E-2</v>
      </c>
      <c r="S107" s="14">
        <v>2.9115246728764477E-2</v>
      </c>
      <c r="T107" s="14">
        <v>6.3307283144122706E-2</v>
      </c>
      <c r="U107" s="14">
        <v>2.8823634594094871E-2</v>
      </c>
      <c r="V107" s="14">
        <v>4.3708129965579601E-2</v>
      </c>
      <c r="W107" s="14">
        <v>2.6795800533599701E-2</v>
      </c>
      <c r="X107" s="14">
        <v>2.5239020793232758E-2</v>
      </c>
      <c r="Y107" s="14">
        <v>2.3230133812987608E-2</v>
      </c>
      <c r="Z107" s="14">
        <v>3.809784891695539E-2</v>
      </c>
      <c r="AA107" s="14">
        <v>3.9366117171185155E-2</v>
      </c>
      <c r="AB107" s="14">
        <v>3.9224833303028284E-2</v>
      </c>
      <c r="AC107" s="14">
        <v>3.5316703317173792E-2</v>
      </c>
      <c r="AD107" s="14">
        <v>3.2797288748324938E-2</v>
      </c>
      <c r="AE107" s="14">
        <v>3.2210279304545397E-2</v>
      </c>
      <c r="AF107">
        <v>5.4852584481354993E-2</v>
      </c>
      <c r="AG107">
        <v>4.8672112305739645E-2</v>
      </c>
      <c r="AH107">
        <v>3.5559970184206813E-2</v>
      </c>
      <c r="AI107">
        <v>4.942055900628195E-2</v>
      </c>
      <c r="AJ107">
        <v>4.1418544732386986E-2</v>
      </c>
      <c r="AK107">
        <v>5.3236942000191467E-2</v>
      </c>
      <c r="AL107">
        <v>4.6803039897258203E-2</v>
      </c>
      <c r="AM107">
        <v>5.058479798833132E-2</v>
      </c>
      <c r="AN107">
        <v>6.9335931150675489E-2</v>
      </c>
      <c r="AO107">
        <v>3.1828681206053255E-2</v>
      </c>
      <c r="AP107">
        <v>5.2690027300046127E-2</v>
      </c>
    </row>
    <row r="108" spans="1:42" x14ac:dyDescent="0.2">
      <c r="A108">
        <v>-9.2405368000000002E-2</v>
      </c>
      <c r="B108">
        <v>3.0054584799610429E-2</v>
      </c>
      <c r="C108" s="14">
        <v>1.448873458911637E-2</v>
      </c>
      <c r="D108" s="14">
        <v>7.6423146602669911E-3</v>
      </c>
      <c r="E108" s="14">
        <v>2.8436896715802185E-3</v>
      </c>
      <c r="F108" s="14">
        <v>4.508589894582915E-3</v>
      </c>
      <c r="G108" s="14">
        <v>2.182590167845222E-2</v>
      </c>
      <c r="H108" s="14">
        <v>1.4656251628692385E-2</v>
      </c>
      <c r="I108" s="14">
        <v>1.0255026236212661E-2</v>
      </c>
      <c r="J108" s="14">
        <v>3.8836781156835976E-2</v>
      </c>
      <c r="K108" s="14">
        <v>2.9026969911567058E-2</v>
      </c>
      <c r="L108" s="14">
        <v>2.165270923564433E-2</v>
      </c>
      <c r="M108" s="14">
        <v>2.2922201894412908E-2</v>
      </c>
      <c r="N108" s="14">
        <v>2.8902063226371566E-2</v>
      </c>
      <c r="O108" s="14">
        <v>1.6761726162700386E-2</v>
      </c>
      <c r="P108" s="14">
        <v>1.1267455072441868E-2</v>
      </c>
      <c r="Q108" s="14">
        <v>9.7170340716019599E-3</v>
      </c>
      <c r="R108" s="14">
        <v>2.5947384711100585E-2</v>
      </c>
      <c r="S108" s="14">
        <v>2.9846479287153449E-2</v>
      </c>
      <c r="T108" s="14">
        <v>5.564974092664543E-2</v>
      </c>
      <c r="U108" s="14">
        <v>2.5329901948842382E-2</v>
      </c>
      <c r="V108" s="14">
        <v>3.6606188181663724E-2</v>
      </c>
      <c r="W108" s="14">
        <v>1.9093973802712161E-2</v>
      </c>
      <c r="X108" s="14">
        <v>2.2293587401085502E-2</v>
      </c>
      <c r="Y108" s="14">
        <v>2.0115746030135495E-2</v>
      </c>
      <c r="Z108" s="14">
        <v>4.2139440721593868E-2</v>
      </c>
      <c r="AA108" s="14">
        <v>3.9005202588206112E-2</v>
      </c>
      <c r="AB108" s="14">
        <v>3.9088178551920261E-2</v>
      </c>
      <c r="AC108" s="14">
        <v>2.9007332587124068E-2</v>
      </c>
      <c r="AD108" s="14">
        <v>3.1052183372662245E-2</v>
      </c>
      <c r="AE108" s="14">
        <v>3.2975962217073773E-2</v>
      </c>
      <c r="AF108">
        <v>5.3231231025408943E-2</v>
      </c>
      <c r="AG108">
        <v>4.7493587164358142E-2</v>
      </c>
      <c r="AH108">
        <v>3.3869756454677102E-2</v>
      </c>
      <c r="AI108">
        <v>4.7296690628369387E-2</v>
      </c>
      <c r="AJ108">
        <v>3.6565489147364183E-2</v>
      </c>
      <c r="AK108">
        <v>5.3350090529785787E-2</v>
      </c>
      <c r="AL108">
        <v>4.3831526023461742E-2</v>
      </c>
      <c r="AM108">
        <v>4.7153981316872484E-2</v>
      </c>
      <c r="AN108">
        <v>6.660442060032834E-2</v>
      </c>
      <c r="AO108">
        <v>2.9917981473001121E-2</v>
      </c>
      <c r="AP108">
        <v>5.0299133563534659E-2</v>
      </c>
    </row>
    <row r="109" spans="1:42" x14ac:dyDescent="0.2">
      <c r="A109">
        <v>-8.757020800000001E-2</v>
      </c>
      <c r="B109">
        <v>3.1385962914046106E-2</v>
      </c>
      <c r="C109" s="14">
        <v>7.7147654108808972E-3</v>
      </c>
      <c r="D109" s="14">
        <v>4.1149353397311739E-3</v>
      </c>
      <c r="E109" s="14">
        <v>1.968660328418359E-3</v>
      </c>
      <c r="F109" s="14">
        <v>8.6405716423748613E-4</v>
      </c>
      <c r="G109" s="14">
        <v>1.4289698321544586E-2</v>
      </c>
      <c r="H109" s="14">
        <v>1.5968748371305574E-2</v>
      </c>
      <c r="I109" s="14">
        <v>1.5212673763783713E-2</v>
      </c>
      <c r="J109" s="14">
        <v>3.7616147414585632E-2</v>
      </c>
      <c r="K109" s="14">
        <v>1.1929155088429788E-2</v>
      </c>
      <c r="L109" s="14">
        <v>3.1928124097684196E-2</v>
      </c>
      <c r="M109" s="14">
        <v>1.120229810558232E-2</v>
      </c>
      <c r="N109" s="14">
        <v>1.1627131218067688E-2</v>
      </c>
      <c r="O109" s="14">
        <v>2.2853653837294319E-2</v>
      </c>
      <c r="P109" s="14">
        <v>1.9674413348608144E-2</v>
      </c>
      <c r="Q109" s="14">
        <v>2.2515202770500786E-2</v>
      </c>
      <c r="R109" s="14">
        <v>2.5127156008178109E-2</v>
      </c>
      <c r="S109" s="14">
        <v>3.30936076693642E-2</v>
      </c>
      <c r="T109" s="14">
        <v>3.0163143688737681E-2</v>
      </c>
      <c r="U109" s="14">
        <v>2.4570077217819841E-2</v>
      </c>
      <c r="V109" s="14">
        <v>2.1301177202941557E-2</v>
      </c>
      <c r="W109" s="14">
        <v>1.0737047936414557E-2</v>
      </c>
      <c r="X109" s="14">
        <v>2.4488066445054857E-2</v>
      </c>
      <c r="Y109" s="14">
        <v>2.2687273200624414E-2</v>
      </c>
      <c r="Z109" s="14">
        <v>3.6226959278399862E-2</v>
      </c>
      <c r="AA109" s="14">
        <v>3.6566220488704892E-2</v>
      </c>
      <c r="AB109" s="14">
        <v>2.5935456063452544E-2</v>
      </c>
      <c r="AC109" s="14">
        <v>2.3024891546671034E-2</v>
      </c>
      <c r="AD109" s="14">
        <v>2.5259008935018756E-2</v>
      </c>
      <c r="AE109" s="14">
        <v>2.8273576244452869E-2</v>
      </c>
      <c r="AF109">
        <v>4.5922752761057506E-2</v>
      </c>
      <c r="AG109">
        <v>4.390896455433857E-2</v>
      </c>
      <c r="AH109">
        <v>2.9991439197491754E-2</v>
      </c>
      <c r="AI109">
        <v>4.385972315878961E-2</v>
      </c>
      <c r="AJ109">
        <v>3.411833884519716E-2</v>
      </c>
      <c r="AK109">
        <v>4.8870124930321612E-2</v>
      </c>
      <c r="AL109">
        <v>4.3703907291096966E-2</v>
      </c>
      <c r="AM109">
        <v>4.252006529997121E-2</v>
      </c>
      <c r="AN109">
        <v>5.9934777504335068E-2</v>
      </c>
      <c r="AO109">
        <v>3.0523215012695393E-2</v>
      </c>
      <c r="AP109">
        <v>4.637614737053497E-2</v>
      </c>
    </row>
    <row r="110" spans="1:42" x14ac:dyDescent="0.2">
      <c r="A110">
        <v>-8.273504000000001E-2</v>
      </c>
      <c r="B110">
        <v>3.0968342683484862E-2</v>
      </c>
      <c r="C110" s="14">
        <v>0</v>
      </c>
      <c r="D110" s="14">
        <v>2.3375635801327066E-3</v>
      </c>
      <c r="E110" s="14">
        <v>3.7186385857894688E-3</v>
      </c>
      <c r="F110" s="14">
        <v>7.062530241408127E-3</v>
      </c>
      <c r="G110" s="14">
        <v>3.0355008392252136E-3</v>
      </c>
      <c r="H110" s="14">
        <v>1.5531250814345476E-2</v>
      </c>
      <c r="I110" s="14">
        <v>2.6732325618105401E-2</v>
      </c>
      <c r="J110" s="14">
        <v>2.8738518554606518E-2</v>
      </c>
      <c r="K110" s="14">
        <v>2.9243443307826467E-3</v>
      </c>
      <c r="L110" s="14">
        <v>3.979654211782091E-2</v>
      </c>
      <c r="M110" s="14">
        <v>1.359239714285726E-2</v>
      </c>
      <c r="N110" s="14">
        <v>1.0539201752073457E-2</v>
      </c>
      <c r="O110" s="14">
        <v>2.5008585581348775E-2</v>
      </c>
      <c r="P110" s="14">
        <v>3.0269375562536005E-2</v>
      </c>
      <c r="Q110" s="14">
        <v>2.6454375588431833E-2</v>
      </c>
      <c r="R110" s="14">
        <v>1.6212932754362641E-2</v>
      </c>
      <c r="S110" s="14">
        <v>2.452773964357563E-2</v>
      </c>
      <c r="T110" s="14">
        <v>1.8567548347937557E-2</v>
      </c>
      <c r="U110" s="14">
        <v>2.4138255661920016E-2</v>
      </c>
      <c r="V110" s="14">
        <v>1.6824168610060197E-2</v>
      </c>
      <c r="W110" s="14">
        <v>8.8321254883116374E-3</v>
      </c>
      <c r="X110" s="14">
        <v>2.5370548508231949E-2</v>
      </c>
      <c r="Y110" s="14">
        <v>2.3509803303527033E-2</v>
      </c>
      <c r="Z110" s="14">
        <v>2.9440480360795496E-2</v>
      </c>
      <c r="AA110" s="14">
        <v>2.6253240717177329E-2</v>
      </c>
      <c r="AB110" s="14">
        <v>1.7595735910572952E-2</v>
      </c>
      <c r="AC110" s="14">
        <v>2.590245293053095E-2</v>
      </c>
      <c r="AD110" s="14">
        <v>1.8044836878636339E-2</v>
      </c>
      <c r="AE110" s="14">
        <v>2.0726192646995822E-2</v>
      </c>
      <c r="AF110">
        <v>4.34262788002161E-2</v>
      </c>
      <c r="AG110">
        <v>4.1199345305051205E-2</v>
      </c>
      <c r="AH110">
        <v>2.6988125509946004E-2</v>
      </c>
      <c r="AI110">
        <v>3.7906759105905241E-2</v>
      </c>
      <c r="AJ110">
        <v>3.2217191809044143E-2</v>
      </c>
      <c r="AK110">
        <v>4.3514164066398298E-2</v>
      </c>
      <c r="AL110">
        <v>3.6358292174287321E-2</v>
      </c>
      <c r="AM110">
        <v>4.3027152708821292E-2</v>
      </c>
      <c r="AN110">
        <v>5.5453139693843467E-2</v>
      </c>
      <c r="AO110">
        <v>2.9268450853703332E-2</v>
      </c>
      <c r="AP110">
        <v>4.1906164365825616E-2</v>
      </c>
    </row>
    <row r="111" spans="1:42" x14ac:dyDescent="0.2">
      <c r="A111">
        <v>-7.7899872000000009E-2</v>
      </c>
      <c r="B111">
        <v>2.9019722265790082E-2</v>
      </c>
      <c r="C111" s="14">
        <v>2.4808429551027578E-3</v>
      </c>
      <c r="D111" s="14">
        <v>9.748190740399898E-3</v>
      </c>
      <c r="E111" s="14">
        <v>5.9066157573695044E-3</v>
      </c>
      <c r="F111" s="14">
        <v>1.041800248893332E-2</v>
      </c>
      <c r="G111" s="14">
        <v>5.5623025176786411E-3</v>
      </c>
      <c r="H111" s="14">
        <v>1.334375244303837E-2</v>
      </c>
      <c r="I111" s="14">
        <v>2.8845976854319555E-2</v>
      </c>
      <c r="J111" s="14">
        <v>1.1110888997159951E-2</v>
      </c>
      <c r="K111" s="14">
        <v>2.6705329923509269E-3</v>
      </c>
      <c r="L111" s="14">
        <v>3.2024959686800747E-2</v>
      </c>
      <c r="M111" s="14">
        <v>2.2872495776402713E-2</v>
      </c>
      <c r="N111" s="14">
        <v>2.4655271922892075E-2</v>
      </c>
      <c r="O111" s="14">
        <v>2.3225516744051489E-2</v>
      </c>
      <c r="P111" s="14">
        <v>2.8177337213926124E-2</v>
      </c>
      <c r="Q111" s="14">
        <v>2.1206547817929466E-2</v>
      </c>
      <c r="R111" s="14">
        <v>1.4298710515846247E-2</v>
      </c>
      <c r="S111" s="14">
        <v>1.803987110464389E-2</v>
      </c>
      <c r="T111" s="14">
        <v>2.622195273612199E-2</v>
      </c>
      <c r="U111" s="14">
        <v>2.1300433652431006E-2</v>
      </c>
      <c r="V111" s="14">
        <v>2.219115967634433E-2</v>
      </c>
      <c r="W111" s="14">
        <v>1.4912202551894904E-2</v>
      </c>
      <c r="X111" s="14">
        <v>2.1987030140093511E-2</v>
      </c>
      <c r="Y111" s="14">
        <v>2.0285332987513283E-2</v>
      </c>
      <c r="Z111" s="14">
        <v>2.7576001082392387E-2</v>
      </c>
      <c r="AA111" s="14">
        <v>2.3486260613081955E-2</v>
      </c>
      <c r="AB111" s="14">
        <v>1.953701542403774E-2</v>
      </c>
      <c r="AC111" s="14">
        <v>3.0531013968067011E-2</v>
      </c>
      <c r="AD111" s="14">
        <v>1.9361664482073659E-2</v>
      </c>
      <c r="AE111" s="14">
        <v>2.0288808710229589E-2</v>
      </c>
      <c r="AF111">
        <v>4.5960804224707941E-2</v>
      </c>
      <c r="AG111">
        <v>3.8379725575667933E-2</v>
      </c>
      <c r="AH111">
        <v>2.5735811312451506E-2</v>
      </c>
      <c r="AI111">
        <v>4.0048794564931045E-2</v>
      </c>
      <c r="AJ111">
        <v>3.4364044306495478E-2</v>
      </c>
      <c r="AK111">
        <v>4.6908203407808657E-2</v>
      </c>
      <c r="AL111">
        <v>4.0386676540997923E-2</v>
      </c>
      <c r="AM111">
        <v>4.2877239628625108E-2</v>
      </c>
      <c r="AN111">
        <v>5.9502501916730344E-2</v>
      </c>
      <c r="AO111">
        <v>2.5935686366563127E-2</v>
      </c>
      <c r="AP111">
        <v>4.5092180906070922E-2</v>
      </c>
    </row>
    <row r="112" spans="1:42" x14ac:dyDescent="0.2">
      <c r="A112">
        <v>-7.3064712000000004E-2</v>
      </c>
      <c r="B112">
        <v>2.8273100506653437E-2</v>
      </c>
      <c r="C112" s="14">
        <v>8.3948737768684278E-3</v>
      </c>
      <c r="D112" s="14">
        <v>1.0157811419864937E-2</v>
      </c>
      <c r="E112" s="14">
        <v>5.0315864142086442E-3</v>
      </c>
      <c r="F112" s="14">
        <v>9.6164697585885972E-3</v>
      </c>
      <c r="G112" s="14">
        <v>1.3557099160771635E-2</v>
      </c>
      <c r="H112" s="14">
        <v>1.2031249185652237E-2</v>
      </c>
      <c r="I112" s="14">
        <v>1.892862438189119E-2</v>
      </c>
      <c r="J112" s="14">
        <v>7.0452552549102876E-3</v>
      </c>
      <c r="K112" s="14">
        <v>1.3134718169214132E-2</v>
      </c>
      <c r="L112" s="14">
        <v>1.9769374548840979E-2</v>
      </c>
      <c r="M112" s="14">
        <v>2.569959198757249E-2</v>
      </c>
      <c r="N112" s="14">
        <v>3.6692339914588312E-2</v>
      </c>
      <c r="O112" s="14">
        <v>1.094344441864592E-2</v>
      </c>
      <c r="P112" s="14">
        <v>1.5584295490092992E-2</v>
      </c>
      <c r="Q112" s="14">
        <v>7.9727165168287928E-3</v>
      </c>
      <c r="R112" s="14">
        <v>1.1947486309457855E-2</v>
      </c>
      <c r="S112" s="14">
        <v>1.6911999486855067E-2</v>
      </c>
      <c r="T112" s="14">
        <v>3.9344355498214523E-2</v>
      </c>
      <c r="U112" s="14">
        <v>1.5289608921408904E-2</v>
      </c>
      <c r="V112" s="14">
        <v>2.8979148697622525E-2</v>
      </c>
      <c r="W112" s="14">
        <v>1.8148276685597764E-2</v>
      </c>
      <c r="X112" s="14">
        <v>1.6635509184063313E-2</v>
      </c>
      <c r="Y112" s="14">
        <v>1.4654860158002658E-2</v>
      </c>
      <c r="Z112" s="14">
        <v>2.3523519639198742E-2</v>
      </c>
      <c r="AA112" s="14">
        <v>2.7390278513581112E-2</v>
      </c>
      <c r="AB112" s="14">
        <v>2.1615292935570407E-2</v>
      </c>
      <c r="AC112" s="14">
        <v>2.9142572927631893E-2</v>
      </c>
      <c r="AD112" s="14">
        <v>2.0787490044430479E-2</v>
      </c>
      <c r="AE112" s="14">
        <v>2.0398422737609001E-2</v>
      </c>
      <c r="AF112">
        <v>4.259032596066592E-2</v>
      </c>
      <c r="AG112">
        <v>3.8951102965671947E-2</v>
      </c>
      <c r="AH112">
        <v>2.3826494055266711E-2</v>
      </c>
      <c r="AI112">
        <v>4.2626827095377018E-2</v>
      </c>
      <c r="AJ112">
        <v>3.3338894004787401E-2</v>
      </c>
      <c r="AK112">
        <v>4.4178240057149099E-2</v>
      </c>
      <c r="AL112">
        <v>3.8728057808706251E-2</v>
      </c>
      <c r="AM112">
        <v>4.305632361261813E-2</v>
      </c>
      <c r="AN112">
        <v>5.65518608394463E-2</v>
      </c>
      <c r="AO112">
        <v>2.4024919907830178E-2</v>
      </c>
      <c r="AP112">
        <v>4.3357194714165548E-2</v>
      </c>
    </row>
    <row r="113" spans="1:42" x14ac:dyDescent="0.2">
      <c r="A113">
        <v>-6.8229551999999999E-2</v>
      </c>
      <c r="B113">
        <v>2.7636479248210999E-2</v>
      </c>
      <c r="C113" s="14">
        <v>1.2120907044892659E-2</v>
      </c>
      <c r="D113" s="14">
        <v>7.0684342595962457E-3</v>
      </c>
      <c r="E113" s="14">
        <v>6.5655924262697507E-4</v>
      </c>
      <c r="F113" s="14">
        <v>5.5349386875329087E-3</v>
      </c>
      <c r="G113" s="14">
        <v>1.4333897482317171E-2</v>
      </c>
      <c r="H113" s="14">
        <v>5.0317475569581771E-3</v>
      </c>
      <c r="I113" s="14">
        <v>9.8862731456762498E-3</v>
      </c>
      <c r="J113" s="14">
        <v>9.5426229075942226E-3</v>
      </c>
      <c r="K113" s="14">
        <v>1.9223904507645051E-2</v>
      </c>
      <c r="L113" s="14">
        <v>1.0356790313193975E-2</v>
      </c>
      <c r="M113" s="14">
        <v>2.3385689006200361E-2</v>
      </c>
      <c r="N113" s="14">
        <v>3.4729408632658276E-2</v>
      </c>
      <c r="O113" s="14">
        <v>5.8793732559425105E-3</v>
      </c>
      <c r="P113" s="14">
        <v>5.3982548913336093E-3</v>
      </c>
      <c r="Q113" s="14">
        <v>1.849886392593536E-3</v>
      </c>
      <c r="R113" s="14">
        <v>1.3643264569008717E-2</v>
      </c>
      <c r="S113" s="14">
        <v>1.7206128895351391E-2</v>
      </c>
      <c r="T113" s="14">
        <v>4.5357758802337389E-2</v>
      </c>
      <c r="U113" s="14">
        <v>1.3873785097563929E-2</v>
      </c>
      <c r="V113" s="14">
        <v>2.7674138400568871E-2</v>
      </c>
      <c r="W113" s="14">
        <v>1.0009351795926935E-2</v>
      </c>
      <c r="X113" s="14">
        <v>1.33609890906633E-2</v>
      </c>
      <c r="Y113" s="14">
        <v>1.1649388166323882E-2</v>
      </c>
      <c r="Z113" s="14">
        <v>2.7674038917601618E-2</v>
      </c>
      <c r="AA113" s="14">
        <v>2.80142970792151E-2</v>
      </c>
      <c r="AB113" s="14">
        <v>2.4404571114413409E-2</v>
      </c>
      <c r="AC113" s="14">
        <v>2.3270132579860936E-2</v>
      </c>
      <c r="AD113" s="14">
        <v>1.9916316287147129E-2</v>
      </c>
      <c r="AE113" s="14">
        <v>2.171103744360614E-2</v>
      </c>
      <c r="AF113">
        <v>3.9437848926265451E-2</v>
      </c>
      <c r="AG113">
        <v>3.5475481315889457E-2</v>
      </c>
      <c r="AH113">
        <v>2.3010177817978095E-2</v>
      </c>
      <c r="AI113">
        <v>4.0830860602026731E-2</v>
      </c>
      <c r="AJ113">
        <v>2.7609744636327815E-2</v>
      </c>
      <c r="AK113">
        <v>4.2103278544627365E-2</v>
      </c>
      <c r="AL113">
        <v>3.5318440109445182E-2</v>
      </c>
      <c r="AM113">
        <v>4.0719408575596028E-2</v>
      </c>
      <c r="AN113">
        <v>5.3820221714114824E-2</v>
      </c>
      <c r="AO113">
        <v>2.4083154106965043E-2</v>
      </c>
      <c r="AP113">
        <v>4.2824209433444005E-2</v>
      </c>
    </row>
    <row r="114" spans="1:42" x14ac:dyDescent="0.2">
      <c r="A114">
        <v>-6.3394383999999998E-2</v>
      </c>
      <c r="B114">
        <v>2.8312859408297864E-2</v>
      </c>
      <c r="C114" s="14">
        <v>1.0159947651700807E-2</v>
      </c>
      <c r="D114" s="14">
        <v>1.7910635801332564E-3</v>
      </c>
      <c r="E114" s="14">
        <v>6.5653858578984536E-4</v>
      </c>
      <c r="F114" s="14">
        <v>0</v>
      </c>
      <c r="G114" s="14">
        <v>1.5328700839225884E-2</v>
      </c>
      <c r="H114" s="14">
        <v>7.4372508143459304E-3</v>
      </c>
      <c r="I114" s="14">
        <v>2.374925618105983E-3</v>
      </c>
      <c r="J114" s="14">
        <v>2.8664994745083439E-2</v>
      </c>
      <c r="K114" s="14">
        <v>2.1376094330782969E-2</v>
      </c>
      <c r="L114" s="14">
        <v>1.2319208784488E-2</v>
      </c>
      <c r="M114" s="14">
        <v>1.3416788447205286E-2</v>
      </c>
      <c r="N114" s="14">
        <v>2.062647952985186E-2</v>
      </c>
      <c r="O114" s="14">
        <v>4.971305581349228E-3</v>
      </c>
      <c r="P114" s="14">
        <v>4.3992176677995487E-3</v>
      </c>
      <c r="Q114" s="14">
        <v>6.226059798958572E-3</v>
      </c>
      <c r="R114" s="14">
        <v>1.588504729379514E-2</v>
      </c>
      <c r="S114" s="14">
        <v>2.1437261382706463E-2</v>
      </c>
      <c r="T114" s="14">
        <v>4.3496163732552995E-2</v>
      </c>
      <c r="U114" s="14">
        <v>1.3551963995253657E-2</v>
      </c>
      <c r="V114" s="14">
        <v>2.2213130148522608E-2</v>
      </c>
      <c r="W114" s="14">
        <v>7.3394298361381671E-3</v>
      </c>
      <c r="X114" s="14">
        <v>1.2384471585156431E-2</v>
      </c>
      <c r="Y114" s="14">
        <v>1.2580918688143372E-2</v>
      </c>
      <c r="Z114" s="14">
        <v>2.4387560360796146E-2</v>
      </c>
      <c r="AA114" s="14">
        <v>2.5575317640255724E-2</v>
      </c>
      <c r="AB114" s="14">
        <v>2.4923851295189703E-2</v>
      </c>
      <c r="AC114" s="14">
        <v>1.5538694310073486E-2</v>
      </c>
      <c r="AD114" s="14">
        <v>1.8280144570945345E-2</v>
      </c>
      <c r="AE114" s="14">
        <v>2.0507654185458801E-2</v>
      </c>
      <c r="AF114">
        <v>3.9566375580589064E-2</v>
      </c>
      <c r="AG114">
        <v>3.6593862546736022E-2</v>
      </c>
      <c r="AH114">
        <v>2.0225864640381452E-2</v>
      </c>
      <c r="AI114">
        <v>3.5972897037273466E-2</v>
      </c>
      <c r="AJ114">
        <v>2.756959806731285E-2</v>
      </c>
      <c r="AK114">
        <v>3.8060321065890967E-2</v>
      </c>
      <c r="AL114">
        <v>3.2347825509231654E-2</v>
      </c>
      <c r="AM114">
        <v>3.4335496474938998E-2</v>
      </c>
      <c r="AN114">
        <v>4.7588587112574632E-2</v>
      </c>
      <c r="AO114">
        <v>2.2500390278663518E-2</v>
      </c>
      <c r="AP114">
        <v>3.9230226885550556E-2</v>
      </c>
    </row>
    <row r="115" spans="1:42" x14ac:dyDescent="0.2">
      <c r="A115">
        <v>-5.8559216000000004E-2</v>
      </c>
      <c r="B115">
        <v>2.5816239144776598E-2</v>
      </c>
      <c r="C115" s="14">
        <v>4.2619858122464604E-3</v>
      </c>
      <c r="D115" s="14">
        <v>0</v>
      </c>
      <c r="E115" s="14">
        <v>0</v>
      </c>
      <c r="F115" s="14">
        <v>0</v>
      </c>
      <c r="G115" s="14">
        <v>1.0855502517679416E-2</v>
      </c>
      <c r="H115" s="14">
        <v>1.2249752443038886E-2</v>
      </c>
      <c r="I115" s="14">
        <v>1.1050576854320204E-2</v>
      </c>
      <c r="J115" s="14">
        <v>3.3568365187636839E-2</v>
      </c>
      <c r="K115" s="14">
        <v>7.122282992351292E-3</v>
      </c>
      <c r="L115" s="14">
        <v>2.390762635346777E-2</v>
      </c>
      <c r="M115" s="14">
        <v>4.6498870807507586E-3</v>
      </c>
      <c r="N115" s="14">
        <v>4.0075497006705763E-3</v>
      </c>
      <c r="O115" s="14">
        <v>1.4563236744051966E-2</v>
      </c>
      <c r="P115" s="14">
        <v>1.5432179319189776E-2</v>
      </c>
      <c r="Q115" s="14">
        <v>2.0118232028456251E-2</v>
      </c>
      <c r="R115" s="14">
        <v>1.7252830049997725E-2</v>
      </c>
      <c r="S115" s="14">
        <v>2.4683392843774687E-2</v>
      </c>
      <c r="T115" s="14">
        <v>3.5072568120737502E-2</v>
      </c>
      <c r="U115" s="14">
        <v>1.4870141985764695E-2</v>
      </c>
      <c r="V115" s="14">
        <v>9.0951212148067673E-3</v>
      </c>
      <c r="W115" s="14">
        <v>2.5905068997215119E-3</v>
      </c>
      <c r="X115" s="14">
        <v>1.359495321701798E-2</v>
      </c>
      <c r="Y115" s="14">
        <v>1.252844837212963E-2</v>
      </c>
      <c r="Z115" s="14">
        <v>2.2085081082393043E-2</v>
      </c>
      <c r="AA115" s="14">
        <v>1.9964337536160393E-2</v>
      </c>
      <c r="AB115" s="14">
        <v>1.4943130808654614E-2</v>
      </c>
      <c r="AC115" s="14">
        <v>1.2072255347631566E-2</v>
      </c>
      <c r="AD115" s="14">
        <v>1.3362972174382759E-2</v>
      </c>
      <c r="AE115" s="14">
        <v>1.5804270248692576E-2</v>
      </c>
      <c r="AF115">
        <v>3.4444901005457162E-2</v>
      </c>
      <c r="AG115">
        <v>3.1150242817381657E-2</v>
      </c>
      <c r="AH115">
        <v>1.7223550442887037E-2</v>
      </c>
      <c r="AI115">
        <v>3.2097932496330805E-2</v>
      </c>
      <c r="AJ115">
        <v>2.3481450565331241E-2</v>
      </c>
      <c r="AK115">
        <v>3.5329363090726318E-2</v>
      </c>
      <c r="AL115">
        <v>3.003220987602917E-2</v>
      </c>
      <c r="AM115">
        <v>3.1670583395848106E-2</v>
      </c>
      <c r="AN115">
        <v>4.3324951782696131E-2</v>
      </c>
      <c r="AO115">
        <v>2.0698625793462655E-2</v>
      </c>
      <c r="AP115">
        <v>3.7275243427148386E-2</v>
      </c>
    </row>
    <row r="116" spans="1:42" x14ac:dyDescent="0.2">
      <c r="A116">
        <v>-5.3724056000000006E-2</v>
      </c>
      <c r="B116">
        <v>2.2664617187705405E-2</v>
      </c>
      <c r="C116" s="14">
        <v>0</v>
      </c>
      <c r="D116" s="14">
        <v>7.6555989867976848E-4</v>
      </c>
      <c r="E116" s="14">
        <v>1.9138098420632965E-3</v>
      </c>
      <c r="F116" s="14">
        <v>2.4753508670633528E-3</v>
      </c>
      <c r="G116" s="14">
        <v>0</v>
      </c>
      <c r="H116" s="14">
        <v>1.1594247964133386E-2</v>
      </c>
      <c r="I116" s="14">
        <v>2.147722345473152E-2</v>
      </c>
      <c r="J116" s="14">
        <v>2.3597730399186889E-2</v>
      </c>
      <c r="K116" s="14">
        <v>0</v>
      </c>
      <c r="L116" s="14">
        <v>3.0573040538773522E-2</v>
      </c>
      <c r="M116" s="14">
        <v>3.4299826863268268E-3</v>
      </c>
      <c r="N116" s="14">
        <v>5.1361714758657584E-4</v>
      </c>
      <c r="O116" s="14">
        <v>1.7593163546619661E-2</v>
      </c>
      <c r="P116" s="14">
        <v>2.1214136751551038E-2</v>
      </c>
      <c r="Q116" s="14">
        <v>2.4385399844706335E-2</v>
      </c>
      <c r="R116" s="14">
        <v>9.9796095670632301E-3</v>
      </c>
      <c r="S116" s="14">
        <v>1.5789520456272021E-2</v>
      </c>
      <c r="T116" s="14">
        <v>4.8829704763072024E-3</v>
      </c>
      <c r="U116" s="14">
        <v>1.5094316574359556E-2</v>
      </c>
      <c r="V116" s="14">
        <v>2.6501097248336491E-3</v>
      </c>
      <c r="W116" s="14">
        <v>2.3265803009545061E-3</v>
      </c>
      <c r="X116" s="14">
        <v>1.4695431614015098E-2</v>
      </c>
      <c r="Y116" s="14">
        <v>1.4772974914245063E-2</v>
      </c>
      <c r="Z116" s="14">
        <v>1.4204599098002035E-2</v>
      </c>
      <c r="AA116" s="14">
        <v>1.2276354937808431E-2</v>
      </c>
      <c r="AB116" s="14">
        <v>6.0564078197044013E-3</v>
      </c>
      <c r="AC116" s="14">
        <v>1.4293813787723542E-2</v>
      </c>
      <c r="AD116" s="14">
        <v>6.6947972264697064E-3</v>
      </c>
      <c r="AE116" s="14">
        <v>7.3828837671086611E-3</v>
      </c>
      <c r="AF116">
        <v>2.866742181961679E-2</v>
      </c>
      <c r="AG116">
        <v>2.5814619487258494E-2</v>
      </c>
      <c r="AH116">
        <v>1.3126232420779926E-2</v>
      </c>
      <c r="AI116">
        <v>3.1395964294660461E-2</v>
      </c>
      <c r="AJ116">
        <v>1.9831299564341764E-2</v>
      </c>
      <c r="AK116">
        <v>3.0848401432051253E-2</v>
      </c>
      <c r="AL116">
        <v>2.6404590369063285E-2</v>
      </c>
      <c r="AM116">
        <v>2.7583666646879501E-2</v>
      </c>
      <c r="AN116">
        <v>3.7312312056433927E-2</v>
      </c>
      <c r="AO116">
        <v>1.8240858843568297E-2</v>
      </c>
      <c r="AP116">
        <v>2.9962256553418221E-2</v>
      </c>
    </row>
    <row r="117" spans="1:42" x14ac:dyDescent="0.2">
      <c r="A117">
        <v>-4.8888888000000005E-2</v>
      </c>
      <c r="B117">
        <v>2.0277997221357202E-2</v>
      </c>
      <c r="C117" s="14">
        <v>0</v>
      </c>
      <c r="D117" s="14">
        <v>4.9216880202640478E-3</v>
      </c>
      <c r="E117" s="14">
        <v>0</v>
      </c>
      <c r="F117" s="14">
        <v>2.3308239442338397E-3</v>
      </c>
      <c r="G117" s="14">
        <v>0</v>
      </c>
      <c r="H117" s="14">
        <v>0</v>
      </c>
      <c r="I117" s="14">
        <v>1.7027875309053087E-2</v>
      </c>
      <c r="J117" s="14">
        <v>1.3761015392077525E-3</v>
      </c>
      <c r="K117" s="14">
        <v>0</v>
      </c>
      <c r="L117" s="14">
        <v>1.809845855891018E-2</v>
      </c>
      <c r="M117" s="14">
        <v>9.7570817236018459E-3</v>
      </c>
      <c r="N117" s="14">
        <v>1.0035687681592409E-2</v>
      </c>
      <c r="O117" s="14">
        <v>1.3842095290674095E-2</v>
      </c>
      <c r="P117" s="14">
        <v>1.912209896547884E-2</v>
      </c>
      <c r="Q117" s="14">
        <v>1.0933572662637281E-2</v>
      </c>
      <c r="R117" s="14">
        <v>1.2843947126345845E-3</v>
      </c>
      <c r="S117" s="14">
        <v>3.5056524304833414E-3</v>
      </c>
      <c r="T117" s="14">
        <v>0</v>
      </c>
      <c r="U117" s="14">
        <v>4.9274950184596822E-3</v>
      </c>
      <c r="V117" s="14">
        <v>2.3291011319523935E-3</v>
      </c>
      <c r="W117" s="14">
        <v>4.2265785285161561E-4</v>
      </c>
      <c r="X117" s="14">
        <v>1.0218913677192243E-2</v>
      </c>
      <c r="Y117" s="14">
        <v>7.6105050171476618E-3</v>
      </c>
      <c r="Z117" s="14">
        <v>7.4181201803976138E-3</v>
      </c>
      <c r="AA117" s="14">
        <v>7.1023751662808721E-3</v>
      </c>
      <c r="AB117" s="14">
        <v>7.7968766682490198E-4</v>
      </c>
      <c r="AC117" s="14">
        <v>1.4109375171620975E-2</v>
      </c>
      <c r="AD117" s="14">
        <v>5.3866251700873669E-3</v>
      </c>
      <c r="AE117" s="14">
        <v>3.8250016965168943E-4</v>
      </c>
      <c r="AF117">
        <v>2.1358947859419053E-2</v>
      </c>
      <c r="AG117">
        <v>2.1793000238020666E-2</v>
      </c>
      <c r="AH117">
        <v>9.0299187332340547E-3</v>
      </c>
      <c r="AI117">
        <v>2.5771000241830155E-2</v>
      </c>
      <c r="AJ117">
        <v>1.7274152529161313E-2</v>
      </c>
      <c r="AK117">
        <v>2.6368445150292685E-2</v>
      </c>
      <c r="AL117">
        <v>2.1245975252401295E-2</v>
      </c>
      <c r="AM117">
        <v>2.3386754057625414E-2</v>
      </c>
      <c r="AN117">
        <v>3.3267678438045234E-2</v>
      </c>
      <c r="AO117">
        <v>1.7424094687902403E-2</v>
      </c>
      <c r="AP117">
        <v>2.571127355102909E-2</v>
      </c>
    </row>
    <row r="118" spans="1:42" x14ac:dyDescent="0.2">
      <c r="A118">
        <v>-4.4053724000000002E-2</v>
      </c>
      <c r="B118">
        <v>1.9641376363703056E-2</v>
      </c>
      <c r="C118" s="14">
        <v>5.3955411388580954E-3</v>
      </c>
      <c r="D118" s="14">
        <v>2.515811979735938E-3</v>
      </c>
      <c r="E118" s="14">
        <v>3.8306196841264573E-4</v>
      </c>
      <c r="F118" s="14">
        <v>3.2792937028243152E-3</v>
      </c>
      <c r="G118" s="14">
        <v>4.3473745984883294E-3</v>
      </c>
      <c r="H118" s="14">
        <v>5.9241627269529529E-4</v>
      </c>
      <c r="I118" s="14">
        <v>7.5475246909461058E-3</v>
      </c>
      <c r="J118" s="14">
        <v>0</v>
      </c>
      <c r="K118" s="14">
        <v>7.2338434596073142E-3</v>
      </c>
      <c r="L118" s="14">
        <v>7.5918747744203596E-3</v>
      </c>
      <c r="M118" s="14">
        <v>1.4881179145959544E-2</v>
      </c>
      <c r="N118" s="14">
        <v>2.5681756762850061E-2</v>
      </c>
      <c r="O118" s="14">
        <v>8.3400247093228796E-3</v>
      </c>
      <c r="P118" s="14">
        <v>7.1860589292574439E-3</v>
      </c>
      <c r="Q118" s="14">
        <v>0</v>
      </c>
      <c r="R118" s="14">
        <v>2.3231783327916644E-3</v>
      </c>
      <c r="S118" s="14">
        <v>1.7207823521231957E-3</v>
      </c>
      <c r="T118" s="14">
        <v>1.5816778710645685E-2</v>
      </c>
      <c r="U118" s="14">
        <v>0</v>
      </c>
      <c r="V118" s="14">
        <v>1.5133091175733637E-2</v>
      </c>
      <c r="W118" s="14">
        <v>4.8617334514948207E-3</v>
      </c>
      <c r="X118" s="14">
        <v>7.929394015108171E-3</v>
      </c>
      <c r="Y118" s="14">
        <v>4.933033444385726E-3</v>
      </c>
      <c r="Z118" s="14">
        <v>7.740639819599382E-3</v>
      </c>
      <c r="AA118" s="14">
        <v>1.0570394064482902E-2</v>
      </c>
      <c r="AB118" s="14">
        <v>8.7369661793237352E-3</v>
      </c>
      <c r="AC118" s="14">
        <v>1.4908935170204807E-2</v>
      </c>
      <c r="AD118" s="14">
        <v>7.9064517529845446E-3</v>
      </c>
      <c r="AE118" s="14">
        <v>5.8511152149584578E-3</v>
      </c>
      <c r="AF118">
        <v>2.5862471440204371E-2</v>
      </c>
      <c r="AG118">
        <v>2.586437906837491E-2</v>
      </c>
      <c r="AH118">
        <v>7.1206030058945102E-3</v>
      </c>
      <c r="AI118">
        <v>2.4741034236614057E-2</v>
      </c>
      <c r="AJ118">
        <v>1.6139003627888615E-2</v>
      </c>
      <c r="AK118">
        <v>2.4074487091683694E-2</v>
      </c>
      <c r="AL118">
        <v>2.068035806973767E-2</v>
      </c>
      <c r="AM118">
        <v>2.4221839511191556E-2</v>
      </c>
      <c r="AN118">
        <v>3.4911042661181058E-2</v>
      </c>
      <c r="AO118">
        <v>1.3982329217887612E-2</v>
      </c>
      <c r="AP118">
        <v>2.4085288727240028E-2</v>
      </c>
    </row>
    <row r="119" spans="1:42" x14ac:dyDescent="0.2">
      <c r="A119">
        <v>-3.921856E-2</v>
      </c>
      <c r="B119">
        <v>1.9004755535811324E-2</v>
      </c>
      <c r="C119" s="14">
        <v>8.7496234165741482E-3</v>
      </c>
      <c r="D119" s="14">
        <v>2.2969359392078781E-3</v>
      </c>
      <c r="E119" s="14">
        <v>0</v>
      </c>
      <c r="F119" s="14">
        <v>5.0976346141473616E-4</v>
      </c>
      <c r="G119" s="14">
        <v>1.1949123795464978E-2</v>
      </c>
      <c r="H119" s="14">
        <v>3.090248818085839E-3</v>
      </c>
      <c r="I119" s="14">
        <v>1.3491740728391877E-3</v>
      </c>
      <c r="J119" s="14">
        <v>7.4648382395120505E-3</v>
      </c>
      <c r="K119" s="14">
        <v>1.6167030378823222E-2</v>
      </c>
      <c r="L119" s="14">
        <v>0</v>
      </c>
      <c r="M119" s="14">
        <v>1.2567276568317243E-2</v>
      </c>
      <c r="N119" s="14">
        <v>2.3718825844107616E-2</v>
      </c>
      <c r="O119" s="14">
        <v>0</v>
      </c>
      <c r="P119" s="14">
        <v>4.9901889303610725E-4</v>
      </c>
      <c r="Q119" s="14">
        <v>0</v>
      </c>
      <c r="R119" s="14">
        <v>6.3159626444461714E-3</v>
      </c>
      <c r="S119" s="14">
        <v>7.7019122737631007E-3</v>
      </c>
      <c r="T119" s="14">
        <v>3.3314182285784255E-2</v>
      </c>
      <c r="U119" s="14">
        <v>0</v>
      </c>
      <c r="V119" s="14">
        <v>1.7328081219514901E-2</v>
      </c>
      <c r="W119" s="14">
        <v>3.8318090501380797E-3</v>
      </c>
      <c r="X119" s="14">
        <v>3.5618743530240748E-3</v>
      </c>
      <c r="Y119" s="14">
        <v>2.3655618716236781E-3</v>
      </c>
      <c r="Z119" s="14">
        <v>1.3751159458801177E-2</v>
      </c>
      <c r="AA119" s="14">
        <v>1.4037412962684959E-2</v>
      </c>
      <c r="AB119" s="14">
        <v>1.3084244691822622E-2</v>
      </c>
      <c r="AC119" s="14">
        <v>9.6924951687930583E-3</v>
      </c>
      <c r="AD119" s="14">
        <v>1.0207278335881809E-2</v>
      </c>
      <c r="AE119" s="14">
        <v>9.788730260265166E-3</v>
      </c>
      <c r="AF119">
        <v>2.3366995021060433E-2</v>
      </c>
      <c r="AG119">
        <v>2.3481757898734912E-2</v>
      </c>
      <c r="AH119">
        <v>6.3042872785550319E-3</v>
      </c>
      <c r="AI119">
        <v>2.4804068231404242E-2</v>
      </c>
      <c r="AJ119">
        <v>1.5660854726727957E-2</v>
      </c>
      <c r="AK119">
        <v>2.3750529521331498E-2</v>
      </c>
      <c r="AL119">
        <v>1.9459740887089461E-2</v>
      </c>
      <c r="AM119">
        <v>2.4837924964976277E-2</v>
      </c>
      <c r="AN119">
        <v>3.3054407351906567E-2</v>
      </c>
      <c r="AO119">
        <v>1.4149563748254601E-2</v>
      </c>
      <c r="AP119">
        <v>2.5849303903718202E-2</v>
      </c>
    </row>
    <row r="120" spans="1:42" x14ac:dyDescent="0.2">
      <c r="A120">
        <v>-3.4383391999999999E-2</v>
      </c>
      <c r="B120">
        <v>1.5743135712433631E-2</v>
      </c>
      <c r="C120" s="14">
        <v>6.4167101806635873E-3</v>
      </c>
      <c r="D120" s="14">
        <v>0</v>
      </c>
      <c r="E120" s="14">
        <v>5.1062647785821147E-4</v>
      </c>
      <c r="F120" s="14">
        <v>0</v>
      </c>
      <c r="G120" s="14">
        <v>1.2112876405290907E-2</v>
      </c>
      <c r="H120" s="14">
        <v>6.3528347122333018E-3</v>
      </c>
      <c r="I120" s="14">
        <v>0</v>
      </c>
      <c r="J120" s="14">
        <v>2.5274209553899807E-2</v>
      </c>
      <c r="K120" s="14">
        <v>1.8756219766372151E-2</v>
      </c>
      <c r="L120" s="14">
        <v>5.0647091228565033E-3</v>
      </c>
      <c r="M120" s="14">
        <v>5.4413757065246426E-3</v>
      </c>
      <c r="N120" s="14">
        <v>1.7162896468910394E-2</v>
      </c>
      <c r="O120" s="14">
        <v>1.4928860173640257E-3</v>
      </c>
      <c r="P120" s="14">
        <v>0</v>
      </c>
      <c r="Q120" s="14">
        <v>4.3841259566763657E-3</v>
      </c>
      <c r="R120" s="14">
        <v>1.0745749774154545E-2</v>
      </c>
      <c r="S120" s="14">
        <v>1.4120044376260354E-2</v>
      </c>
      <c r="T120" s="14">
        <v>3.3640587012738032E-2</v>
      </c>
      <c r="U120" s="14">
        <v>4.6170268354462918E-3</v>
      </c>
      <c r="V120" s="14">
        <v>1.4054072711842336E-2</v>
      </c>
      <c r="W120" s="14">
        <v>1.3808867241135725E-3</v>
      </c>
      <c r="X120" s="14">
        <v>4.5533565240301055E-3</v>
      </c>
      <c r="Y120" s="14">
        <v>3.6250920792554875E-3</v>
      </c>
      <c r="Z120" s="14">
        <v>1.5823680631396386E-2</v>
      </c>
      <c r="AA120" s="14">
        <v>1.5208433274299438E-2</v>
      </c>
      <c r="AB120" s="14">
        <v>1.2947524622356987E-2</v>
      </c>
      <c r="AC120" s="14">
        <v>7.2110566392856734E-3</v>
      </c>
      <c r="AD120" s="14">
        <v>7.696106364544486E-3</v>
      </c>
      <c r="AE120" s="14">
        <v>8.804346747635583E-3</v>
      </c>
      <c r="AF120">
        <v>2.5245521214758093E-2</v>
      </c>
      <c r="AG120">
        <v>2.055413876953982E-2</v>
      </c>
      <c r="AH120">
        <v>3.7389737184964633E-3</v>
      </c>
      <c r="AI120">
        <v>2.0492104300616709E-2</v>
      </c>
      <c r="AJ120">
        <v>1.7916707808507737E-2</v>
      </c>
      <c r="AK120">
        <v>2.1457574768227738E-2</v>
      </c>
      <c r="AL120">
        <v>1.4519125899596974E-2</v>
      </c>
      <c r="AM120">
        <v>2.0423012498688109E-2</v>
      </c>
      <c r="AN120">
        <v>2.8134775238137233E-2</v>
      </c>
      <c r="AO120">
        <v>1.1363799675856767E-2</v>
      </c>
      <c r="AP120">
        <v>2.2254321015952483E-2</v>
      </c>
    </row>
    <row r="121" spans="1:42" x14ac:dyDescent="0.2">
      <c r="A121">
        <v>-2.9548230000000002E-2</v>
      </c>
      <c r="B121">
        <v>1.4997514590898819E-2</v>
      </c>
      <c r="C121" s="14">
        <v>1.8957908749536179E-3</v>
      </c>
      <c r="D121" s="14">
        <v>4.9174931571616121E-4</v>
      </c>
      <c r="E121" s="14">
        <v>3.7188743666321522E-3</v>
      </c>
      <c r="F121" s="14">
        <v>0</v>
      </c>
      <c r="G121" s="14">
        <v>8.9956243977324934E-3</v>
      </c>
      <c r="H121" s="14">
        <v>1.0271916075709486E-2</v>
      </c>
      <c r="I121" s="14">
        <v>1.1593499547585207E-2</v>
      </c>
      <c r="J121" s="14">
        <v>2.8209576857851082E-2</v>
      </c>
      <c r="K121" s="14">
        <v>4.939405814411657E-3</v>
      </c>
      <c r="L121" s="14">
        <v>2.0699124661631652E-2</v>
      </c>
      <c r="M121" s="14">
        <v>0</v>
      </c>
      <c r="N121" s="14">
        <v>1.1999650053873268E-3</v>
      </c>
      <c r="O121" s="14">
        <v>1.283581456398547E-2</v>
      </c>
      <c r="P121" s="14">
        <v>1.1703499592826683E-2</v>
      </c>
      <c r="Q121" s="14">
        <v>2.0480374589995853E-2</v>
      </c>
      <c r="R121" s="14">
        <v>1.4737534179632916E-2</v>
      </c>
      <c r="S121" s="14">
        <v>2.1195173528185784E-2</v>
      </c>
      <c r="T121" s="14">
        <v>2.3246990181353566E-2</v>
      </c>
      <c r="U121" s="14">
        <v>9.5442027848074984E-3</v>
      </c>
      <c r="V121" s="14">
        <v>2.3580622443720167E-3</v>
      </c>
      <c r="W121" s="14">
        <v>1.0069615902865148E-3</v>
      </c>
      <c r="X121" s="14">
        <v>5.6548362149729248E-3</v>
      </c>
      <c r="Y121" s="14">
        <v>8.2756198781190893E-3</v>
      </c>
      <c r="Z121" s="14">
        <v>1.4396199729400427E-2</v>
      </c>
      <c r="AA121" s="14">
        <v>1.2659451673650013E-2</v>
      </c>
      <c r="AB121" s="14">
        <v>1.0404802634372656E-2</v>
      </c>
      <c r="AC121" s="14">
        <v>7.7916161183873012E-3</v>
      </c>
      <c r="AD121" s="14">
        <v>4.5289324371715067E-3</v>
      </c>
      <c r="AE121" s="14">
        <v>7.8199612839786048E-3</v>
      </c>
      <c r="AF121">
        <v>1.6624043873576522E-2</v>
      </c>
      <c r="AG121">
        <v>1.9156516879754781E-2</v>
      </c>
      <c r="AH121">
        <v>2.7046572262341417E-3</v>
      </c>
      <c r="AI121">
        <v>1.8915137563270901E-2</v>
      </c>
      <c r="AJ121">
        <v>1.0438558207716664E-2</v>
      </c>
      <c r="AK121">
        <v>1.6757617169600447E-2</v>
      </c>
      <c r="AL121">
        <v>1.3079507942217239E-2</v>
      </c>
      <c r="AM121">
        <v>1.9179097218830987E-2</v>
      </c>
      <c r="AN121">
        <v>2.4746139754706964E-2</v>
      </c>
      <c r="AO121">
        <v>1.0766033713867362E-2</v>
      </c>
      <c r="AP121">
        <v>2.0081335509773757E-2</v>
      </c>
    </row>
    <row r="122" spans="1:42" x14ac:dyDescent="0.2">
      <c r="A122">
        <v>-2.4713064E-2</v>
      </c>
      <c r="B122">
        <v>1.2281894383476488E-2</v>
      </c>
      <c r="C122" s="14">
        <v>0</v>
      </c>
      <c r="D122" s="14">
        <v>2.7162505702366113E-3</v>
      </c>
      <c r="E122" s="14">
        <v>6.9271255278063881E-3</v>
      </c>
      <c r="F122" s="14">
        <v>5.8329588328746018E-3</v>
      </c>
      <c r="G122" s="14">
        <v>1.9413755018894419E-3</v>
      </c>
      <c r="H122" s="14">
        <v>1.1456750492464252E-2</v>
      </c>
      <c r="I122" s="14">
        <v>2.0854167043678984E-2</v>
      </c>
      <c r="J122" s="14">
        <v>2.5237946864487881E-2</v>
      </c>
      <c r="K122" s="14">
        <v>0</v>
      </c>
      <c r="L122" s="14">
        <v>2.6927541948638833E-2</v>
      </c>
      <c r="M122" s="14">
        <v>1.5805709045032534E-3</v>
      </c>
      <c r="N122" s="14">
        <v>0</v>
      </c>
      <c r="O122" s="14">
        <v>2.1333745363343926E-2</v>
      </c>
      <c r="P122" s="14">
        <v>2.3078500339311081E-2</v>
      </c>
      <c r="Q122" s="14">
        <v>2.4873625341670091E-2</v>
      </c>
      <c r="R122" s="14">
        <v>1.2933320964514605E-2</v>
      </c>
      <c r="S122" s="14">
        <v>1.7442304668540076E-2</v>
      </c>
      <c r="T122" s="14">
        <v>4.5423944001536376E-3</v>
      </c>
      <c r="U122" s="14">
        <v>1.469038049182575E-2</v>
      </c>
      <c r="V122" s="14">
        <v>0</v>
      </c>
      <c r="W122" s="14">
        <v>0</v>
      </c>
      <c r="X122" s="14">
        <v>1.0912317577262742E-2</v>
      </c>
      <c r="Y122" s="14">
        <v>9.3171493002830452E-3</v>
      </c>
      <c r="Z122" s="14">
        <v>1.034372022549862E-2</v>
      </c>
      <c r="AA122" s="14">
        <v>6.7214713617002042E-3</v>
      </c>
      <c r="AB122" s="14">
        <v>3.1508193930318562E-4</v>
      </c>
      <c r="AC122" s="14">
        <v>8.4821769395192481E-3</v>
      </c>
      <c r="AD122" s="14">
        <v>2.6775982799659426E-4</v>
      </c>
      <c r="AE122" s="14">
        <v>0</v>
      </c>
      <c r="AF122">
        <v>1.3909568914685866E-2</v>
      </c>
      <c r="AG122">
        <v>1.5133896850375028E-2</v>
      </c>
      <c r="AH122">
        <v>0</v>
      </c>
      <c r="AI122">
        <v>1.59151727173098E-2</v>
      </c>
      <c r="AJ122">
        <v>9.1944104148946049E-3</v>
      </c>
      <c r="AK122">
        <v>1.7089662096180958E-2</v>
      </c>
      <c r="AL122">
        <v>9.6708919863011666E-3</v>
      </c>
      <c r="AM122">
        <v>1.2795183835365986E-2</v>
      </c>
      <c r="AN122">
        <v>2.1139507156242909E-2</v>
      </c>
      <c r="AO122">
        <v>8.7452690258063015E-3</v>
      </c>
      <c r="AP122">
        <v>1.692435176853424E-2</v>
      </c>
    </row>
    <row r="123" spans="1:42" x14ac:dyDescent="0.2">
      <c r="A123">
        <v>-1.98779E-2</v>
      </c>
      <c r="B123">
        <v>8.9112737085639271E-3</v>
      </c>
      <c r="C123" s="14">
        <v>0</v>
      </c>
      <c r="D123" s="14">
        <v>6.252749885952702E-3</v>
      </c>
      <c r="E123" s="14">
        <v>2.6973748944386644E-3</v>
      </c>
      <c r="F123" s="14">
        <v>5.5415415667583456E-3</v>
      </c>
      <c r="G123" s="14">
        <v>0</v>
      </c>
      <c r="H123" s="14">
        <v>1.9235832348404869E-3</v>
      </c>
      <c r="I123" s="14">
        <v>1.6770833257930828E-2</v>
      </c>
      <c r="J123" s="14">
        <v>3.6733153890068371E-3</v>
      </c>
      <c r="K123" s="14">
        <v>0</v>
      </c>
      <c r="L123" s="14">
        <v>1.5217958276938226E-2</v>
      </c>
      <c r="M123" s="14">
        <v>7.1416684277933462E-3</v>
      </c>
      <c r="N123" s="14">
        <v>9.4609999820929325E-3</v>
      </c>
      <c r="O123" s="14">
        <v>1.9113674927330571E-2</v>
      </c>
      <c r="P123" s="14">
        <v>1.7390499932137815E-2</v>
      </c>
      <c r="Q123" s="14">
        <v>1.1109874931665986E-2</v>
      </c>
      <c r="R123" s="14">
        <v>4.2381068034287317E-3</v>
      </c>
      <c r="S123" s="14">
        <v>5.0484347184657219E-3</v>
      </c>
      <c r="T123" s="14">
        <v>0</v>
      </c>
      <c r="U123" s="14">
        <v>7.1495572349676295E-3</v>
      </c>
      <c r="V123" s="14">
        <v>7.6043226624911142E-5</v>
      </c>
      <c r="W123" s="14">
        <v>4.3749994910546874E-4</v>
      </c>
      <c r="X123" s="14">
        <v>7.418798023007489E-3</v>
      </c>
      <c r="Y123" s="14">
        <v>5.3266778322500485E-3</v>
      </c>
      <c r="Z123" s="14">
        <v>2.0262399549000887E-3</v>
      </c>
      <c r="AA123" s="14">
        <v>1.2549034304415452E-4</v>
      </c>
      <c r="AB123" s="14">
        <v>3.9636053521591164E-4</v>
      </c>
      <c r="AC123" s="14">
        <v>8.9537370247042558E-3</v>
      </c>
      <c r="AD123" s="14">
        <v>0</v>
      </c>
      <c r="AE123" s="14">
        <v>0</v>
      </c>
      <c r="AF123">
        <v>7.2570926494534005E-3</v>
      </c>
      <c r="AG123">
        <v>1.0893275800779756E-2</v>
      </c>
      <c r="AH123">
        <v>1.0071046854588761E-2</v>
      </c>
      <c r="AI123">
        <v>1.3135206834145208E-2</v>
      </c>
      <c r="AJ123">
        <v>7.4032616307346255E-3</v>
      </c>
      <c r="AK123">
        <v>1.1077706150305289E-2</v>
      </c>
      <c r="AL123">
        <v>8.6682749328229614E-3</v>
      </c>
      <c r="AM123">
        <v>5.8652694121955062E-3</v>
      </c>
      <c r="AN123">
        <v>1.6657873503644782E-2</v>
      </c>
      <c r="AO123">
        <v>6.1785036395775594E-3</v>
      </c>
      <c r="AP123">
        <v>9.8293670597324745E-3</v>
      </c>
    </row>
    <row r="124" spans="1:42" x14ac:dyDescent="0.2">
      <c r="A124">
        <v>-1.5042735000000002E-2</v>
      </c>
      <c r="B124">
        <v>7.6186532527693918E-3</v>
      </c>
      <c r="C124" s="14">
        <v>1.3669375000000539E-3</v>
      </c>
      <c r="D124" s="14">
        <v>1.9142500000001172E-3</v>
      </c>
      <c r="E124" s="14">
        <v>0</v>
      </c>
      <c r="F124" s="14">
        <v>0</v>
      </c>
      <c r="G124" s="14">
        <v>1.7319166666666108E-3</v>
      </c>
      <c r="H124" s="14">
        <v>0</v>
      </c>
      <c r="I124" s="14">
        <v>2.4064999999999781E-3</v>
      </c>
      <c r="J124" s="14">
        <v>0</v>
      </c>
      <c r="K124" s="14">
        <v>5.9200625000000451E-3</v>
      </c>
      <c r="L124" s="14">
        <v>0</v>
      </c>
      <c r="M124" s="14">
        <v>6.0307663043466242E-3</v>
      </c>
      <c r="N124" s="14">
        <v>1.5403666666666593E-2</v>
      </c>
      <c r="O124" s="14">
        <v>1.3616049999997104E-3</v>
      </c>
      <c r="P124" s="14">
        <v>1.0949999999998461E-4</v>
      </c>
      <c r="Q124" s="14">
        <v>0</v>
      </c>
      <c r="R124" s="14">
        <v>0</v>
      </c>
      <c r="S124" s="14">
        <v>0</v>
      </c>
      <c r="T124" s="14">
        <v>3.0983333333334251E-4</v>
      </c>
      <c r="U124" s="14">
        <v>0</v>
      </c>
      <c r="V124" s="14">
        <v>4.6770336538449198E-3</v>
      </c>
      <c r="W124" s="14">
        <v>2.1881666666666022E-3</v>
      </c>
      <c r="X124" s="14">
        <v>2.8332788461531422E-3</v>
      </c>
      <c r="Y124" s="14">
        <v>0</v>
      </c>
      <c r="Z124" s="14">
        <v>0</v>
      </c>
      <c r="AA124" s="14">
        <v>0</v>
      </c>
      <c r="AB124" s="14">
        <v>0</v>
      </c>
      <c r="AC124" s="14">
        <v>4.0652974129302688E-3</v>
      </c>
      <c r="AD124" s="14">
        <v>5.1609375000000179E-4</v>
      </c>
      <c r="AE124" s="14">
        <v>3.3907500000000534E-3</v>
      </c>
      <c r="AF124">
        <v>4.3236169221838594E-3</v>
      </c>
      <c r="AG124">
        <v>5.3396551712786566E-3</v>
      </c>
      <c r="AH124">
        <v>1.8489328124999815E-2</v>
      </c>
      <c r="AI124">
        <v>9.5882413780702391E-3</v>
      </c>
      <c r="AJ124">
        <v>2.9871132548745516E-3</v>
      </c>
      <c r="AK124">
        <v>7.0347509495061744E-3</v>
      </c>
      <c r="AL124">
        <v>5.2586583312924096E-3</v>
      </c>
      <c r="AM124">
        <v>6.9183554173377071E-3</v>
      </c>
      <c r="AN124">
        <v>1.1082240700379109E-2</v>
      </c>
      <c r="AO124">
        <v>4.9237385411756152E-3</v>
      </c>
      <c r="AP124">
        <v>7.2193827495817819E-3</v>
      </c>
    </row>
    <row r="125" spans="1:42" x14ac:dyDescent="0.2">
      <c r="A125">
        <v>-1.0207570000000001E-2</v>
      </c>
      <c r="B125">
        <v>6.8720327858256547E-3</v>
      </c>
      <c r="C125" s="14">
        <v>6.2888125000000183E-3</v>
      </c>
      <c r="D125" s="14">
        <v>2.3877500000000218E-3</v>
      </c>
      <c r="E125" s="14">
        <v>0</v>
      </c>
      <c r="F125" s="14">
        <v>0</v>
      </c>
      <c r="G125" s="14">
        <v>8.0387499999998724E-3</v>
      </c>
      <c r="H125" s="14">
        <v>7.9300000000004367E-4</v>
      </c>
      <c r="I125" s="14">
        <v>0</v>
      </c>
      <c r="J125" s="14">
        <v>6.6717499999999763E-3</v>
      </c>
      <c r="K125" s="14">
        <v>1.2728187499999988E-2</v>
      </c>
      <c r="L125" s="14">
        <v>0</v>
      </c>
      <c r="M125" s="14">
        <v>4.5928641304337492E-3</v>
      </c>
      <c r="N125" s="14">
        <v>1.7518333333333302E-2</v>
      </c>
      <c r="O125" s="14">
        <v>0</v>
      </c>
      <c r="P125" s="14">
        <v>0</v>
      </c>
      <c r="Q125" s="14">
        <v>0</v>
      </c>
      <c r="R125" s="14">
        <v>1.3536249999999694E-3</v>
      </c>
      <c r="S125" s="14">
        <v>3.6773750000000383E-3</v>
      </c>
      <c r="T125" s="14">
        <v>2.0726499999999981E-2</v>
      </c>
      <c r="U125" s="14">
        <v>0</v>
      </c>
      <c r="V125" s="14">
        <v>7.8570240384606693E-3</v>
      </c>
      <c r="W125" s="14">
        <v>9.8483333333326817E-4</v>
      </c>
      <c r="X125" s="14">
        <v>0</v>
      </c>
      <c r="Y125" s="14">
        <v>0</v>
      </c>
      <c r="Z125" s="14">
        <v>7.5057499999999777E-3</v>
      </c>
      <c r="AA125" s="14">
        <v>5.8104999999999962E-3</v>
      </c>
      <c r="AB125" s="14">
        <v>4.9355000000000371E-3</v>
      </c>
      <c r="AC125" s="14">
        <v>4.0998577578677531E-3</v>
      </c>
      <c r="AD125" s="14">
        <v>4.5478124999998037E-4</v>
      </c>
      <c r="AE125" s="14">
        <v>4.2652500000000537E-3</v>
      </c>
      <c r="AF125">
        <v>4.671141118104849E-3</v>
      </c>
      <c r="AG125">
        <v>1.039503448176804E-2</v>
      </c>
      <c r="AH125">
        <v>2.1794859374999809E-2</v>
      </c>
      <c r="AI125">
        <v>8.8862758609868364E-3</v>
      </c>
      <c r="AJ125">
        <v>1.7429648207631931E-3</v>
      </c>
      <c r="AK125">
        <v>8.8977959275059471E-3</v>
      </c>
      <c r="AL125">
        <v>5.3500416652051963E-3</v>
      </c>
      <c r="AM125">
        <v>6.8784413614429996E-3</v>
      </c>
      <c r="AN125">
        <v>8.5696080899292371E-3</v>
      </c>
      <c r="AO125">
        <v>5.2009734019178855E-3</v>
      </c>
      <c r="AP125">
        <v>8.108398382665416E-3</v>
      </c>
    </row>
    <row r="126" spans="1:42" x14ac:dyDescent="0.2">
      <c r="A126">
        <v>-5.3724050000000002E-3</v>
      </c>
      <c r="B126">
        <v>4.2674123609922066E-3</v>
      </c>
      <c r="C126" s="14">
        <v>4.210687582000272E-3</v>
      </c>
      <c r="D126" s="14">
        <v>0</v>
      </c>
      <c r="E126" s="14">
        <v>1.6768334087357561E-3</v>
      </c>
      <c r="F126" s="14">
        <v>0</v>
      </c>
      <c r="G126" s="14">
        <v>1.084658337197808E-2</v>
      </c>
      <c r="H126" s="14">
        <v>6.7903333752742934E-3</v>
      </c>
      <c r="I126" s="14">
        <v>4.8308338093167036E-4</v>
      </c>
      <c r="J126" s="14">
        <v>2.3078250056551841E-2</v>
      </c>
      <c r="K126" s="14">
        <v>1.6474312551604364E-2</v>
      </c>
      <c r="L126" s="14">
        <v>4.6803333717411744E-3</v>
      </c>
      <c r="M126" s="14">
        <v>0</v>
      </c>
      <c r="N126" s="14">
        <v>1.0117000017906996E-2</v>
      </c>
      <c r="O126" s="14">
        <v>2.9803333799880982E-3</v>
      </c>
      <c r="P126" s="14">
        <v>2.9074167095512471E-3</v>
      </c>
      <c r="Q126" s="14">
        <v>6.2023750322829918E-3</v>
      </c>
      <c r="R126" s="14">
        <v>9.2560416899961639E-3</v>
      </c>
      <c r="S126" s="14">
        <v>1.2655291695179538E-2</v>
      </c>
      <c r="T126" s="14">
        <v>2.8346166674206918E-2</v>
      </c>
      <c r="U126" s="14">
        <v>3.5320833830516096E-3</v>
      </c>
      <c r="V126" s="14">
        <v>6.0050144656806914E-3</v>
      </c>
      <c r="W126" s="14">
        <v>1.3125000508944495E-3</v>
      </c>
      <c r="X126" s="14">
        <v>2.2605833625506389E-3</v>
      </c>
      <c r="Y126" s="14">
        <v>1.5906250313394432E-3</v>
      </c>
      <c r="Z126" s="14">
        <v>9.7019166895243591E-3</v>
      </c>
      <c r="AA126" s="14">
        <v>6.9495000351073588E-3</v>
      </c>
      <c r="AB126" s="14">
        <v>4.2525000247405909E-3</v>
      </c>
      <c r="AC126" s="14">
        <v>7.4341814609857337E-4</v>
      </c>
      <c r="AD126" s="14">
        <v>9.4046877668435558E-4</v>
      </c>
      <c r="AE126" s="14">
        <v>8.2027500339311721E-3</v>
      </c>
      <c r="AF126">
        <v>6.1116653908974694E-3</v>
      </c>
      <c r="AG126">
        <v>1.0091413852273134E-2</v>
      </c>
      <c r="AH126">
        <v>1.9959390645410913E-2</v>
      </c>
      <c r="AI126">
        <v>7.8553104049186584E-3</v>
      </c>
      <c r="AJ126">
        <v>2.576816445022001E-3</v>
      </c>
      <c r="AK126">
        <v>6.3858411433582729E-3</v>
      </c>
      <c r="AL126">
        <v>3.0354250636842606E-3</v>
      </c>
      <c r="AM126">
        <v>7.7135273668169635E-3</v>
      </c>
      <c r="AN126">
        <v>8.8999757689396386E-3</v>
      </c>
      <c r="AO126">
        <v>4.9302083039194922E-3</v>
      </c>
      <c r="AP126">
        <v>8.3414140727984254E-3</v>
      </c>
    </row>
    <row r="127" spans="1:42" x14ac:dyDescent="0.2">
      <c r="A127">
        <v>-5.3724000000000003E-4</v>
      </c>
      <c r="B127">
        <v>3.4117919782689077E-3</v>
      </c>
      <c r="C127" s="14">
        <v>1.6955627460005784E-3</v>
      </c>
      <c r="D127" s="14">
        <v>1.0962524317292832E-4</v>
      </c>
      <c r="E127" s="14">
        <v>3.7185002262073996E-3</v>
      </c>
      <c r="F127" s="14">
        <v>4.019125202171292E-3</v>
      </c>
      <c r="G127" s="14">
        <v>4.9034167826011443E-3</v>
      </c>
      <c r="H127" s="14">
        <v>1.1256666792489656E-2</v>
      </c>
      <c r="I127" s="14">
        <v>1.3480250142795025E-2</v>
      </c>
      <c r="J127" s="14">
        <v>3.0952750169655541E-2</v>
      </c>
      <c r="K127" s="14">
        <v>4.4704376548130864E-3</v>
      </c>
      <c r="L127" s="14">
        <v>2.213400011522354E-2</v>
      </c>
      <c r="M127" s="14">
        <v>0</v>
      </c>
      <c r="N127" s="14">
        <v>0</v>
      </c>
      <c r="O127" s="14">
        <v>1.1785000139964197E-2</v>
      </c>
      <c r="P127" s="14">
        <v>1.6160250128653797E-2</v>
      </c>
      <c r="Q127" s="14">
        <v>2.2763125096849079E-2</v>
      </c>
      <c r="R127" s="14">
        <v>1.2126458403321827E-2</v>
      </c>
      <c r="S127" s="14">
        <v>1.8571208418872054E-2</v>
      </c>
      <c r="T127" s="14">
        <v>1.857583335595403E-2</v>
      </c>
      <c r="U127" s="14">
        <v>9.6112501491547042E-3</v>
      </c>
      <c r="V127" s="14">
        <v>0</v>
      </c>
      <c r="W127" s="14">
        <v>0</v>
      </c>
      <c r="X127" s="14">
        <v>7.9847500876520927E-3</v>
      </c>
      <c r="Y127" s="14">
        <v>5.5368750940182898E-3</v>
      </c>
      <c r="Z127" s="14">
        <v>8.9460834019065016E-3</v>
      </c>
      <c r="AA127" s="14">
        <v>6.2295001053220833E-3</v>
      </c>
      <c r="AB127" s="14">
        <v>1.7095000742218258E-3</v>
      </c>
      <c r="AC127" s="14">
        <v>4.6049785776225427E-3</v>
      </c>
      <c r="AD127" s="14">
        <v>8.7865633005312915E-4</v>
      </c>
      <c r="AE127" s="14">
        <v>4.7032501017933437E-3</v>
      </c>
      <c r="AF127">
        <v>3.3971897405615792E-3</v>
      </c>
      <c r="AG127">
        <v>4.9757932827939055E-3</v>
      </c>
      <c r="AH127">
        <v>2.2279921936233238E-2</v>
      </c>
      <c r="AI127">
        <v>9.0123450098656965E-3</v>
      </c>
      <c r="AJ127">
        <v>2.5356681276510473E-3</v>
      </c>
      <c r="AK127">
        <v>6.2798865970633E-3</v>
      </c>
      <c r="AL127">
        <v>1.1578085267295313E-3</v>
      </c>
      <c r="AM127">
        <v>5.7046134334596821E-3</v>
      </c>
      <c r="AN127">
        <v>1.2511343737410252E-2</v>
      </c>
      <c r="AO127">
        <v>2.2544432471803266E-3</v>
      </c>
      <c r="AP127">
        <v>9.5594298199809247E-3</v>
      </c>
    </row>
    <row r="128" spans="1:42" x14ac:dyDescent="0.2">
      <c r="A128">
        <v>4.2979239999999998E-3</v>
      </c>
      <c r="B128">
        <v>3.5411713742112827E-3</v>
      </c>
      <c r="C128" s="14">
        <v>0</v>
      </c>
      <c r="D128" s="14">
        <v>4.1200414234936478E-3</v>
      </c>
      <c r="E128" s="14">
        <v>7.9481664404593144E-3</v>
      </c>
      <c r="F128" s="14">
        <v>1.1219874797828822E-2</v>
      </c>
      <c r="G128" s="14">
        <v>0</v>
      </c>
      <c r="H128" s="14">
        <v>1.2659999874177041E-2</v>
      </c>
      <c r="I128" s="14">
        <v>2.275941652387159E-2</v>
      </c>
      <c r="J128" s="14">
        <v>2.0015249830344417E-2</v>
      </c>
      <c r="K128" s="14">
        <v>0</v>
      </c>
      <c r="L128" s="14">
        <v>2.8104666551443058E-2</v>
      </c>
      <c r="M128" s="14">
        <v>4.4331574572965549E-3</v>
      </c>
      <c r="N128" s="14">
        <v>1.5632499780901532E-3</v>
      </c>
      <c r="O128" s="14">
        <v>2.233966652670244E-2</v>
      </c>
      <c r="P128" s="14">
        <v>2.525608320467948E-2</v>
      </c>
      <c r="Q128" s="14">
        <v>2.8496874903150893E-2</v>
      </c>
      <c r="R128" s="14">
        <v>1.3575874930011389E-2</v>
      </c>
      <c r="S128" s="14">
        <v>1.7705124914461301E-2</v>
      </c>
      <c r="T128" s="14">
        <v>7.1644999773792239E-3</v>
      </c>
      <c r="U128" s="14">
        <v>1.4268416517511984E-2</v>
      </c>
      <c r="V128" s="14">
        <v>0</v>
      </c>
      <c r="W128" s="14">
        <v>0</v>
      </c>
      <c r="X128" s="14">
        <v>1.2067916579014515E-2</v>
      </c>
      <c r="Y128" s="14">
        <v>1.0030124905981763E-2</v>
      </c>
      <c r="Z128" s="14">
        <v>5.2362499314269062E-3</v>
      </c>
      <c r="AA128" s="14">
        <v>2.9944998946778156E-3</v>
      </c>
      <c r="AB128" s="14">
        <v>0</v>
      </c>
      <c r="AC128" s="14">
        <v>7.5925386628183378E-3</v>
      </c>
      <c r="AD128" s="14">
        <v>4.8909366994676073E-4</v>
      </c>
      <c r="AE128" s="14">
        <v>1.7497498982066984E-3</v>
      </c>
      <c r="AF128">
        <v>5.4947134754661509E-3</v>
      </c>
      <c r="AG128">
        <v>8.718172233212973E-3</v>
      </c>
      <c r="AH128">
        <v>1.7710453063766118E-2</v>
      </c>
      <c r="AI128">
        <v>9.0753791267166317E-3</v>
      </c>
      <c r="AJ128">
        <v>2.0575193437633588E-3</v>
      </c>
      <c r="AK128">
        <v>3.5489315682286082E-3</v>
      </c>
      <c r="AL128">
        <v>0</v>
      </c>
      <c r="AM128">
        <v>4.3516990108199427E-3</v>
      </c>
      <c r="AN128">
        <v>8.9047111882175622E-3</v>
      </c>
      <c r="AO128">
        <v>3.9526778618753644E-3</v>
      </c>
      <c r="AP128">
        <v>8.2614451118288024E-3</v>
      </c>
    </row>
    <row r="129" spans="1:42" x14ac:dyDescent="0.2">
      <c r="A129">
        <v>9.1330890000000005E-3</v>
      </c>
      <c r="B129">
        <v>2.3575510093536978E-3</v>
      </c>
      <c r="C129" s="14">
        <v>0</v>
      </c>
      <c r="D129" s="14">
        <v>8.5674582522757281E-3</v>
      </c>
      <c r="E129" s="14">
        <v>3.8648332579309108E-3</v>
      </c>
      <c r="F129" s="14">
        <v>9.8896249326095864E-3</v>
      </c>
      <c r="G129" s="14">
        <v>0</v>
      </c>
      <c r="H129" s="14">
        <v>4.0013332913923505E-3</v>
      </c>
      <c r="I129" s="14">
        <v>1.9787583285734933E-2</v>
      </c>
      <c r="J129" s="14">
        <v>3.3907499434481236E-3</v>
      </c>
      <c r="K129" s="14">
        <v>0</v>
      </c>
      <c r="L129" s="14">
        <v>1.8543333294925413E-2</v>
      </c>
      <c r="M129" s="14">
        <v>1.1854255384316004E-2</v>
      </c>
      <c r="N129" s="14">
        <v>9.0647499926967412E-3</v>
      </c>
      <c r="O129" s="14">
        <v>2.2613333286678583E-2</v>
      </c>
      <c r="P129" s="14">
        <v>2.0352916623782025E-2</v>
      </c>
      <c r="Q129" s="14">
        <v>1.5745624967717031E-2</v>
      </c>
      <c r="R129" s="14">
        <v>3.9782916433371285E-3</v>
      </c>
      <c r="S129" s="14">
        <v>4.261041638153773E-3</v>
      </c>
      <c r="T129" s="14">
        <v>0</v>
      </c>
      <c r="U129" s="14">
        <v>1.1707583283615097E-2</v>
      </c>
      <c r="V129" s="14">
        <v>5.5845624876329492E-3</v>
      </c>
      <c r="W129" s="14">
        <v>2.1123749862142494E-3</v>
      </c>
      <c r="X129" s="14">
        <v>9.1510833041159034E-3</v>
      </c>
      <c r="Y129" s="14">
        <v>7.9613749686605617E-3</v>
      </c>
      <c r="Z129" s="14">
        <v>1.1984166438089305E-3</v>
      </c>
      <c r="AA129" s="14">
        <v>0</v>
      </c>
      <c r="AB129" s="14">
        <v>2.0914999752593699E-3</v>
      </c>
      <c r="AC129" s="14">
        <v>8.28209909434513E-3</v>
      </c>
      <c r="AD129" s="14">
        <v>0</v>
      </c>
      <c r="AE129" s="14">
        <v>0</v>
      </c>
      <c r="AF129">
        <v>2.123237825155444E-3</v>
      </c>
      <c r="AG129">
        <v>4.9145516637372211E-3</v>
      </c>
      <c r="AH129">
        <v>1.4671984354588496E-2</v>
      </c>
      <c r="AI129">
        <v>3.7794137316676246E-3</v>
      </c>
      <c r="AJ129">
        <v>9.2237102646136604E-4</v>
      </c>
      <c r="AK129">
        <v>2.130977189409522E-3</v>
      </c>
      <c r="AL129">
        <v>0</v>
      </c>
      <c r="AM129">
        <v>3.8737850775970029E-3</v>
      </c>
      <c r="AN129">
        <v>3.9850794343957441E-3</v>
      </c>
      <c r="AO129">
        <v>1.8229128053700028E-3</v>
      </c>
      <c r="AP129">
        <v>8.8224608591757625E-3</v>
      </c>
    </row>
    <row r="130" spans="1:42" x14ac:dyDescent="0.2">
      <c r="A130">
        <v>1.3968254000000001E-2</v>
      </c>
      <c r="B130">
        <v>4.0793064897709508E-4</v>
      </c>
      <c r="C130" s="14">
        <v>1.025625041706224E-3</v>
      </c>
      <c r="D130" s="14">
        <v>4.2658750810576351E-3</v>
      </c>
      <c r="E130" s="14">
        <v>1.9685000754025017E-3</v>
      </c>
      <c r="F130" s="14">
        <v>3.9643750673904465E-3</v>
      </c>
      <c r="G130" s="14">
        <v>1.9822500176700508E-3</v>
      </c>
      <c r="H130" s="14">
        <v>0</v>
      </c>
      <c r="I130" s="14">
        <v>4.128750047598384E-3</v>
      </c>
      <c r="J130" s="14">
        <v>0</v>
      </c>
      <c r="K130" s="14">
        <v>6.2705833597241356E-3</v>
      </c>
      <c r="L130" s="14">
        <v>0</v>
      </c>
      <c r="M130" s="14">
        <v>1.0197353311335478E-2</v>
      </c>
      <c r="N130" s="14">
        <v>1.8753250007303268E-2</v>
      </c>
      <c r="O130" s="14">
        <v>6.7000000466547194E-3</v>
      </c>
      <c r="P130" s="14">
        <v>1.6677500428846082E-3</v>
      </c>
      <c r="Q130" s="14">
        <v>0</v>
      </c>
      <c r="R130" s="14">
        <v>0</v>
      </c>
      <c r="S130" s="14">
        <v>0</v>
      </c>
      <c r="T130" s="14">
        <v>3.4524531196978847E-3</v>
      </c>
      <c r="U130" s="14">
        <v>5.0575004971820103E-4</v>
      </c>
      <c r="V130" s="14">
        <v>9.781937512367056E-3</v>
      </c>
      <c r="W130" s="14">
        <v>3.3016250137856695E-3</v>
      </c>
      <c r="X130" s="14">
        <v>3.6092500292174146E-3</v>
      </c>
      <c r="Y130" s="14">
        <v>2.6116250313394374E-3</v>
      </c>
      <c r="Z130" s="14">
        <v>0</v>
      </c>
      <c r="AA130" s="14">
        <v>1.1121093758842404E-4</v>
      </c>
      <c r="AB130" s="14">
        <v>3.1450002474064931E-4</v>
      </c>
      <c r="AC130" s="14">
        <v>6.0196595258725782E-3</v>
      </c>
      <c r="AD130" s="14">
        <v>4.7521877668438295E-4</v>
      </c>
      <c r="AE130" s="14">
        <v>5.2686362402504239E-4</v>
      </c>
      <c r="AF130">
        <v>0</v>
      </c>
      <c r="AG130">
        <v>0</v>
      </c>
      <c r="AH130">
        <v>5.2895156454109138E-3</v>
      </c>
      <c r="AI130">
        <v>2.8584483366195235E-3</v>
      </c>
      <c r="AJ130">
        <v>1.2102227091765894E-3</v>
      </c>
      <c r="AK130">
        <v>0</v>
      </c>
      <c r="AL130">
        <v>1.4369375170463217E-3</v>
      </c>
      <c r="AM130">
        <v>2.5208711444079102E-3</v>
      </c>
      <c r="AN130">
        <v>1.4724477501782962E-3</v>
      </c>
      <c r="AO130">
        <v>2.4114774892336488E-4</v>
      </c>
      <c r="AP130">
        <v>3.0404766065640354E-3</v>
      </c>
    </row>
    <row r="131" spans="1:42" x14ac:dyDescent="0.2">
      <c r="A131">
        <v>1.8803418000000002E-2</v>
      </c>
      <c r="B131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4.7874991164992275E-4</v>
      </c>
      <c r="H131" s="14">
        <v>0</v>
      </c>
      <c r="I131" s="14">
        <v>0</v>
      </c>
      <c r="J131" s="14">
        <v>0</v>
      </c>
      <c r="K131" s="14">
        <v>9.9164165347123689E-3</v>
      </c>
      <c r="L131" s="14">
        <v>0</v>
      </c>
      <c r="M131" s="14">
        <v>1.3204508346255639E-3</v>
      </c>
      <c r="N131" s="14">
        <v>8.7547499634836323E-3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4.2313594015106482E-3</v>
      </c>
      <c r="U131" s="14">
        <v>0</v>
      </c>
      <c r="V131" s="14">
        <v>2.2763124381646183E-3</v>
      </c>
      <c r="W131" s="14">
        <v>8.8187493107139137E-4</v>
      </c>
      <c r="X131" s="14">
        <v>0</v>
      </c>
      <c r="Y131" s="14">
        <v>0</v>
      </c>
      <c r="Z131" s="14">
        <v>0</v>
      </c>
      <c r="AA131" s="14">
        <v>1.7823828120576701E-3</v>
      </c>
      <c r="AB131" s="14">
        <v>2.8749987629689278E-4</v>
      </c>
      <c r="AC131" s="14">
        <v>0</v>
      </c>
      <c r="AD131" s="14">
        <v>0</v>
      </c>
      <c r="AE131" s="14">
        <v>1.2525909707837846E-3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4.9128124147682084E-3</v>
      </c>
      <c r="AM131">
        <v>0</v>
      </c>
      <c r="AN131">
        <v>0</v>
      </c>
      <c r="AO131">
        <v>0</v>
      </c>
      <c r="AP131">
        <v>0</v>
      </c>
    </row>
    <row r="132" spans="1:42" x14ac:dyDescent="0.2">
      <c r="A132">
        <v>2.3638584000000001E-2</v>
      </c>
      <c r="B132">
        <v>0</v>
      </c>
      <c r="C132" s="14">
        <v>2.502125250237075E-3</v>
      </c>
      <c r="D132" s="14">
        <v>0</v>
      </c>
      <c r="E132" s="14">
        <v>3.2632499943383575E-3</v>
      </c>
      <c r="F132" s="14">
        <v>1.0752916610179408E-3</v>
      </c>
      <c r="G132" s="14">
        <v>1.5992501060201891E-3</v>
      </c>
      <c r="H132" s="14">
        <v>2.8070415196318477E-3</v>
      </c>
      <c r="I132" s="14">
        <v>4.1196666214251554E-3</v>
      </c>
      <c r="J132" s="14">
        <v>1.9350583319192149E-2</v>
      </c>
      <c r="K132" s="14">
        <v>1.2031250158345164E-2</v>
      </c>
      <c r="L132" s="14">
        <v>6.179416564886242E-3</v>
      </c>
      <c r="M132" s="14">
        <v>0</v>
      </c>
      <c r="N132" s="14">
        <v>4.4432500438195688E-3</v>
      </c>
      <c r="O132" s="14">
        <v>3.7278334040134475E-3</v>
      </c>
      <c r="P132" s="14">
        <v>2.3335831749881075E-3</v>
      </c>
      <c r="Q132" s="14">
        <v>7.9614998402329218E-3</v>
      </c>
      <c r="R132" s="14">
        <v>5.5800310978432188E-3</v>
      </c>
      <c r="S132" s="14">
        <v>7.9131249141057847E-3</v>
      </c>
      <c r="T132" s="14">
        <v>1.2557265593187039E-2</v>
      </c>
      <c r="U132" s="14">
        <v>3.8508332046923721E-3</v>
      </c>
      <c r="V132" s="14">
        <v>0</v>
      </c>
      <c r="W132" s="14">
        <v>0</v>
      </c>
      <c r="X132" s="14">
        <v>1.5453332188077873E-3</v>
      </c>
      <c r="Y132" s="14">
        <v>2.9243332056230753E-3</v>
      </c>
      <c r="Z132" s="14">
        <v>1.0805847282703285E-3</v>
      </c>
      <c r="AA132" s="14">
        <v>3.3990546880307559E-3</v>
      </c>
      <c r="AB132" s="14">
        <v>0</v>
      </c>
      <c r="AC132" s="14">
        <v>5.6954160587507907E-4</v>
      </c>
      <c r="AD132" s="14">
        <v>0</v>
      </c>
      <c r="AE132" s="14">
        <v>1.7325681077864918E-3</v>
      </c>
      <c r="AF132">
        <v>3.2917374509413788E-2</v>
      </c>
      <c r="AG132">
        <v>1.6599000738030112E-3</v>
      </c>
      <c r="AH132">
        <v>3.587578247466805E-3</v>
      </c>
      <c r="AI132">
        <v>2.4607502035866591E-3</v>
      </c>
      <c r="AJ132">
        <v>1.1605001565096473E-3</v>
      </c>
      <c r="AK132">
        <v>3.107816479678116E-3</v>
      </c>
      <c r="AL132">
        <v>3.0561876022778822E-3</v>
      </c>
      <c r="AM132">
        <v>1.2214168250118673E-3</v>
      </c>
      <c r="AN132">
        <v>5.8345861609254701E-4</v>
      </c>
      <c r="AO132">
        <v>4.8537515057656133E-4</v>
      </c>
      <c r="AP132">
        <v>9.4362508907402942E-4</v>
      </c>
    </row>
    <row r="133" spans="1:42" x14ac:dyDescent="0.2">
      <c r="A133">
        <v>2.8473748E-2</v>
      </c>
      <c r="B133">
        <v>1.559125019789942E-3</v>
      </c>
      <c r="C133" s="14">
        <v>1.4903750834123208E-3</v>
      </c>
      <c r="D133" s="14">
        <v>4.3747500678622542E-3</v>
      </c>
      <c r="E133" s="14">
        <v>8.4767499981127092E-3</v>
      </c>
      <c r="F133" s="14">
        <v>6.2888749981170888E-3</v>
      </c>
      <c r="G133" s="14">
        <v>9.5750035340069761E-5</v>
      </c>
      <c r="H133" s="14">
        <v>4.9221249509884268E-3</v>
      </c>
      <c r="I133" s="14">
        <v>1.7171999984919473E-2</v>
      </c>
      <c r="J133" s="14">
        <v>2.7133416661952958E-2</v>
      </c>
      <c r="K133" s="14">
        <v>2.7710833861150919E-3</v>
      </c>
      <c r="L133" s="14">
        <v>2.3898249966073204E-2</v>
      </c>
      <c r="M133" s="14">
        <v>8.2087502827810077E-4</v>
      </c>
      <c r="N133" s="14">
        <v>0</v>
      </c>
      <c r="O133" s="14">
        <v>1.4683500023560059E-2</v>
      </c>
      <c r="P133" s="14">
        <v>1.8593749947218241E-2</v>
      </c>
      <c r="Q133" s="14">
        <v>2.5197499946744306E-2</v>
      </c>
      <c r="R133" s="14">
        <v>1.1599093699281027E-2</v>
      </c>
      <c r="S133" s="14">
        <v>1.5015374971368567E-2</v>
      </c>
      <c r="T133" s="14">
        <v>1.0056171864395558E-2</v>
      </c>
      <c r="U133" s="14">
        <v>1.308349995711966E-2</v>
      </c>
      <c r="V133" s="14">
        <v>0</v>
      </c>
      <c r="W133" s="14">
        <v>0</v>
      </c>
      <c r="X133" s="14">
        <v>7.6969999618247686E-3</v>
      </c>
      <c r="Y133" s="14">
        <v>9.1009999574298561E-3</v>
      </c>
      <c r="Z133" s="14">
        <v>3.7342544332328309E-3</v>
      </c>
      <c r="AA133" s="14">
        <v>3.7304765626768877E-3</v>
      </c>
      <c r="AB133" s="14">
        <v>0</v>
      </c>
      <c r="AC133" s="14">
        <v>8.3806249797361287E-3</v>
      </c>
      <c r="AD133" s="14">
        <v>5.4337498762968561E-4</v>
      </c>
      <c r="AE133" s="14">
        <v>3.1420454298680123E-3</v>
      </c>
      <c r="AF133">
        <v>7.5445874836470694E-2</v>
      </c>
      <c r="AG133">
        <v>2.025700024600896E-3</v>
      </c>
      <c r="AH133">
        <v>7.4391094158220983E-3</v>
      </c>
      <c r="AI133">
        <v>2.6792500678622377E-3</v>
      </c>
      <c r="AJ133">
        <v>3.2635000521697988E-3</v>
      </c>
      <c r="AK133">
        <v>8.8859492432259435E-3</v>
      </c>
      <c r="AL133">
        <v>4.1535625340924365E-3</v>
      </c>
      <c r="AM133">
        <v>1.4762500527817357E-3</v>
      </c>
      <c r="AN133">
        <v>6.5637509425298113E-4</v>
      </c>
      <c r="AO133">
        <v>1.1271250501921903E-3</v>
      </c>
      <c r="AP133">
        <v>3.3221250296913141E-3</v>
      </c>
    </row>
    <row r="134" spans="1:42" x14ac:dyDescent="0.2">
      <c r="A134">
        <v>3.3308912000000003E-2</v>
      </c>
      <c r="B134">
        <v>3.0087496042019435E-4</v>
      </c>
      <c r="C134" s="14">
        <v>0</v>
      </c>
      <c r="D134" s="14">
        <v>6.1252498642755948E-3</v>
      </c>
      <c r="E134" s="14">
        <v>8.8772500037743729E-3</v>
      </c>
      <c r="F134" s="14">
        <v>9.9714583370991705E-3</v>
      </c>
      <c r="G134" s="14">
        <v>0</v>
      </c>
      <c r="H134" s="14">
        <v>7.693208431356513E-3</v>
      </c>
      <c r="I134" s="14">
        <v>2.4099333363494235E-2</v>
      </c>
      <c r="J134" s="14">
        <v>2.4417250009427516E-2</v>
      </c>
      <c r="K134" s="14">
        <v>0</v>
      </c>
      <c r="L134" s="14">
        <v>2.7836083401186984E-2</v>
      </c>
      <c r="M134" s="14">
        <v>7.6017916101104865E-3</v>
      </c>
      <c r="N134" s="14">
        <v>3.3920833895706437E-3</v>
      </c>
      <c r="O134" s="14">
        <v>2.4764166619546557E-2</v>
      </c>
      <c r="P134" s="14">
        <v>2.4134916772230064E-2</v>
      </c>
      <c r="Q134" s="14">
        <v>2.8651500106511407E-2</v>
      </c>
      <c r="R134" s="14">
        <v>1.0071156351437738E-2</v>
      </c>
      <c r="S134" s="14">
        <v>1.2930625057262723E-2</v>
      </c>
      <c r="T134" s="14">
        <v>3.9440781462083407E-3</v>
      </c>
      <c r="U134" s="14">
        <v>1.4551166752427236E-2</v>
      </c>
      <c r="V134" s="14">
        <v>1.1660417043678484E-3</v>
      </c>
      <c r="W134" s="14">
        <v>2.1875004524146702E-4</v>
      </c>
      <c r="X134" s="14">
        <v>1.1333666743017057E-2</v>
      </c>
      <c r="Y134" s="14">
        <v>1.1011666751806704E-2</v>
      </c>
      <c r="Z134" s="14">
        <v>2.1486741692481881E-3</v>
      </c>
      <c r="AA134" s="14">
        <v>1.3278984371461466E-3</v>
      </c>
      <c r="AB134" s="14">
        <v>2.0734167392426062E-3</v>
      </c>
      <c r="AC134" s="14">
        <v>1.1598708373861066E-2</v>
      </c>
      <c r="AD134" s="14">
        <v>6.5937502474061604E-4</v>
      </c>
      <c r="AE134" s="14">
        <v>2.0087727766267549E-3</v>
      </c>
      <c r="AF134">
        <v>7.6330125327056186E-2</v>
      </c>
      <c r="AG134">
        <v>3.4864999507978056E-3</v>
      </c>
      <c r="AH134">
        <v>8.9946405433550813E-3</v>
      </c>
      <c r="AI134">
        <v>1.3667498642756515E-3</v>
      </c>
      <c r="AJ134">
        <v>3.9444998956600918E-3</v>
      </c>
      <c r="AK134">
        <v>7.8283319822978203E-3</v>
      </c>
      <c r="AL134">
        <v>2.2969374318143054E-3</v>
      </c>
      <c r="AM134">
        <v>5.7790832277698767E-3</v>
      </c>
      <c r="AN134">
        <v>7.2929147816047646E-4</v>
      </c>
      <c r="AO134">
        <v>1.2987489961563403E-4</v>
      </c>
      <c r="AP134">
        <v>6.3571249406173536E-3</v>
      </c>
    </row>
    <row r="135" spans="1:42" x14ac:dyDescent="0.2">
      <c r="A135">
        <v>3.8144080000000004E-2</v>
      </c>
      <c r="B135">
        <v>1.3662519789914285E-4</v>
      </c>
      <c r="C135" s="14">
        <v>0</v>
      </c>
      <c r="D135" s="14">
        <v>1.0062750678622112E-2</v>
      </c>
      <c r="E135" s="14">
        <v>8.4037499811277505E-3</v>
      </c>
      <c r="F135" s="14">
        <v>1.2779041647837552E-2</v>
      </c>
      <c r="G135" s="14">
        <v>0</v>
      </c>
      <c r="H135" s="14">
        <v>5.4322911765506965E-3</v>
      </c>
      <c r="I135" s="14">
        <v>2.0963666515861734E-2</v>
      </c>
      <c r="J135" s="14">
        <v>4.6390832861960551E-3</v>
      </c>
      <c r="K135" s="14">
        <v>0</v>
      </c>
      <c r="L135" s="14">
        <v>1.8101916327398659E-2</v>
      </c>
      <c r="M135" s="14">
        <v>1.7226708616114139E-2</v>
      </c>
      <c r="N135" s="14">
        <v>1.695724971881335E-2</v>
      </c>
      <c r="O135" s="14">
        <v>2.6094833568933662E-2</v>
      </c>
      <c r="P135" s="14">
        <v>2.1802082805516099E-2</v>
      </c>
      <c r="Q135" s="14">
        <v>1.5262499467443236E-2</v>
      </c>
      <c r="R135" s="14">
        <v>6.4652182428105998E-3</v>
      </c>
      <c r="S135" s="14">
        <v>5.3768747136860306E-3</v>
      </c>
      <c r="T135" s="14">
        <v>2.4269842689569887E-3</v>
      </c>
      <c r="U135" s="14">
        <v>1.2081832904530299E-2</v>
      </c>
      <c r="V135" s="14">
        <v>9.2234581448271125E-3</v>
      </c>
      <c r="W135" s="14">
        <v>4.9222497737925752E-3</v>
      </c>
      <c r="X135" s="14">
        <v>1.0048332951581473E-2</v>
      </c>
      <c r="Y135" s="14">
        <v>1.07353329076324E-2</v>
      </c>
      <c r="Z135" s="14">
        <v>1.0010934394724669E-3</v>
      </c>
      <c r="AA135" s="14">
        <v>8.9332031426925251E-4</v>
      </c>
      <c r="AB135" s="14">
        <v>4.3245829704536276E-3</v>
      </c>
      <c r="AC135" s="14">
        <v>1.1534791464027916E-2</v>
      </c>
      <c r="AD135" s="14">
        <v>1.514124876296874E-3</v>
      </c>
      <c r="AE135" s="14">
        <v>6.5649975322795706E-4</v>
      </c>
      <c r="AF135">
        <v>6.9667373364713403E-2</v>
      </c>
      <c r="AG135">
        <v>3.7433002460099951E-3</v>
      </c>
      <c r="AH135">
        <v>8.3621722832233902E-3</v>
      </c>
      <c r="AI135">
        <v>7.1125067862215507E-4</v>
      </c>
      <c r="AJ135">
        <v>3.7230005216986606E-3</v>
      </c>
      <c r="AK135">
        <v>2.5047150885103009E-3</v>
      </c>
      <c r="AL135">
        <v>6.23731284092649E-3</v>
      </c>
      <c r="AM135">
        <v>3.299917194483859E-3</v>
      </c>
      <c r="AN135">
        <v>1.0202092758639925E-3</v>
      </c>
      <c r="AO135">
        <v>0</v>
      </c>
      <c r="AP135">
        <v>6.9313752969133446E-3</v>
      </c>
    </row>
    <row r="136" spans="1:42" x14ac:dyDescent="0.2">
      <c r="A136">
        <v>4.2979240000000002E-2</v>
      </c>
      <c r="B136">
        <v>0</v>
      </c>
      <c r="C136" s="14">
        <v>4.5801241658763869E-3</v>
      </c>
      <c r="D136" s="14">
        <v>7.8752493213778418E-3</v>
      </c>
      <c r="E136" s="14">
        <v>3.9922500188721566E-3</v>
      </c>
      <c r="F136" s="14">
        <v>7.9296250188290451E-3</v>
      </c>
      <c r="G136" s="14">
        <v>4.721458352162422E-3</v>
      </c>
      <c r="H136" s="14">
        <v>3.2813754901159786E-3</v>
      </c>
      <c r="I136" s="14">
        <v>4.2660001508048606E-3</v>
      </c>
      <c r="J136" s="14">
        <v>0</v>
      </c>
      <c r="K136" s="14">
        <v>1.1784750141411948E-2</v>
      </c>
      <c r="L136" s="14">
        <v>1.0387503392679798E-3</v>
      </c>
      <c r="M136" s="14">
        <v>1.7445624717219277E-2</v>
      </c>
      <c r="N136" s="14">
        <v>2.7241416947853092E-2</v>
      </c>
      <c r="O136" s="14">
        <v>1.2332499764399651E-2</v>
      </c>
      <c r="P136" s="14">
        <v>3.7182505278172129E-3</v>
      </c>
      <c r="Q136" s="14">
        <v>0</v>
      </c>
      <c r="R136" s="14">
        <v>7.8128175718911175E-4</v>
      </c>
      <c r="S136" s="14">
        <v>0</v>
      </c>
      <c r="T136" s="14">
        <v>1.0096890731042529E-2</v>
      </c>
      <c r="U136" s="14">
        <v>9.7050042880303389E-4</v>
      </c>
      <c r="V136" s="14">
        <v>1.432787518850609E-2</v>
      </c>
      <c r="W136" s="14">
        <v>7.5467502262073771E-3</v>
      </c>
      <c r="X136" s="14">
        <v>6.2480003817518837E-3</v>
      </c>
      <c r="Y136" s="14">
        <v>5.9750004257005385E-3</v>
      </c>
      <c r="Z136" s="14">
        <v>5.1051370338428548E-4</v>
      </c>
      <c r="AA136" s="14">
        <v>1.6627421857307589E-3</v>
      </c>
      <c r="AB136" s="14">
        <v>8.9827503628796546E-3</v>
      </c>
      <c r="AC136" s="14">
        <v>7.642875202638677E-3</v>
      </c>
      <c r="AD136" s="14">
        <v>3.243875123703166E-3</v>
      </c>
      <c r="AE136" s="14">
        <v>3.8972275194985584E-3</v>
      </c>
      <c r="AF136">
        <v>6.2348626635284177E-2</v>
      </c>
      <c r="AG136">
        <v>3.8910997539894909E-3</v>
      </c>
      <c r="AH136">
        <v>0</v>
      </c>
      <c r="AI136">
        <v>5.741749321377887E-3</v>
      </c>
      <c r="AJ136">
        <v>3.3374994783009204E-3</v>
      </c>
      <c r="AK136">
        <v>3.0870974114893812E-3</v>
      </c>
      <c r="AL136">
        <v>5.0376871590728234E-3</v>
      </c>
      <c r="AM136">
        <v>2.4607494721827217E-3</v>
      </c>
      <c r="AN136">
        <v>2.1812405746912678E-4</v>
      </c>
      <c r="AO136">
        <v>7.2449975957383783E-4</v>
      </c>
      <c r="AP136">
        <v>6.7406247030866728E-3</v>
      </c>
    </row>
    <row r="137" spans="1:42" x14ac:dyDescent="0.2">
      <c r="A137">
        <v>4.7814408000000003E-2</v>
      </c>
      <c r="B137">
        <v>1.0665000358139332E-3</v>
      </c>
      <c r="C137" s="14">
        <v>1.8183751668247039E-3</v>
      </c>
      <c r="D137" s="14">
        <v>4.377501357243907E-4</v>
      </c>
      <c r="E137" s="14">
        <v>4.5574999622555179E-4</v>
      </c>
      <c r="F137" s="14">
        <v>1.5492083295675085E-3</v>
      </c>
      <c r="G137" s="14">
        <v>3.5910416629008624E-3</v>
      </c>
      <c r="H137" s="14">
        <v>0</v>
      </c>
      <c r="I137" s="14">
        <v>0</v>
      </c>
      <c r="J137" s="14">
        <v>1.363749491141153E-4</v>
      </c>
      <c r="K137" s="14">
        <v>1.435524997171761E-2</v>
      </c>
      <c r="L137" s="14">
        <v>0</v>
      </c>
      <c r="M137" s="14">
        <v>5.3045417232228664E-3</v>
      </c>
      <c r="N137" s="14">
        <v>2.0353583277095799E-2</v>
      </c>
      <c r="O137" s="14">
        <v>9.751667137867237E-4</v>
      </c>
      <c r="P137" s="14">
        <v>0</v>
      </c>
      <c r="Q137" s="14">
        <v>0</v>
      </c>
      <c r="R137" s="14">
        <v>0</v>
      </c>
      <c r="S137" s="14">
        <v>0</v>
      </c>
      <c r="T137" s="14">
        <v>1.6891796853791163E-2</v>
      </c>
      <c r="U137" s="14">
        <v>0</v>
      </c>
      <c r="V137" s="14">
        <v>7.1822916289654426E-3</v>
      </c>
      <c r="W137" s="14">
        <v>3.8282499547585558E-3</v>
      </c>
      <c r="X137" s="14">
        <v>0</v>
      </c>
      <c r="Y137" s="14">
        <v>2.1976665815262586E-3</v>
      </c>
      <c r="Z137" s="14">
        <v>2.4249329736086289E-3</v>
      </c>
      <c r="AA137" s="14">
        <v>4.0841406285385684E-4</v>
      </c>
      <c r="AB137" s="14">
        <v>5.4369165940907349E-3</v>
      </c>
      <c r="AC137" s="14">
        <v>3.96895829280558E-3</v>
      </c>
      <c r="AD137" s="14">
        <v>2.8946249752593856E-3</v>
      </c>
      <c r="AE137" s="14">
        <v>8.2329544960997869E-3</v>
      </c>
      <c r="AF137">
        <v>5.2294874672941472E-2</v>
      </c>
      <c r="AG137">
        <v>1.4139000492017773E-3</v>
      </c>
      <c r="AH137">
        <v>4.2532344566446612E-3</v>
      </c>
      <c r="AI137">
        <v>3.4452501357244425E-3</v>
      </c>
      <c r="AJ137">
        <v>4.3465001043395124E-3</v>
      </c>
      <c r="AK137">
        <v>2.3574805177018487E-3</v>
      </c>
      <c r="AL137">
        <v>4.1660625681849695E-3</v>
      </c>
      <c r="AM137">
        <v>1.0755834388967433E-3</v>
      </c>
      <c r="AN137">
        <v>0</v>
      </c>
      <c r="AO137">
        <v>0</v>
      </c>
      <c r="AP137">
        <v>1.1898750593826724E-3</v>
      </c>
    </row>
    <row r="138" spans="1:42" x14ac:dyDescent="0.2">
      <c r="A138">
        <v>5.2649572000000006E-2</v>
      </c>
      <c r="B138">
        <v>1.6318333333332768E-3</v>
      </c>
      <c r="C138" s="14">
        <v>0</v>
      </c>
      <c r="D138" s="14">
        <v>0</v>
      </c>
      <c r="E138" s="14">
        <v>0</v>
      </c>
      <c r="F138" s="14">
        <v>0</v>
      </c>
      <c r="G138" s="14">
        <v>2.0781249999999862E-3</v>
      </c>
      <c r="H138" s="14">
        <v>5.5346875000000795E-4</v>
      </c>
      <c r="I138" s="14">
        <v>3.0081874999999259E-3</v>
      </c>
      <c r="J138" s="14">
        <v>1.1457291666666591E-2</v>
      </c>
      <c r="K138" s="14">
        <v>1.2331749999999975E-2</v>
      </c>
      <c r="L138" s="14">
        <v>4.5251874999999719E-3</v>
      </c>
      <c r="M138" s="14">
        <v>0</v>
      </c>
      <c r="N138" s="14">
        <v>3.0757499999997662E-3</v>
      </c>
      <c r="O138" s="14">
        <v>0</v>
      </c>
      <c r="P138" s="14">
        <v>1.1213541666666438E-3</v>
      </c>
      <c r="Q138" s="14">
        <v>7.7622187499999939E-3</v>
      </c>
      <c r="R138" s="14">
        <v>6.9124062499997807E-3</v>
      </c>
      <c r="S138" s="14">
        <v>3.5129249999999446E-3</v>
      </c>
      <c r="T138" s="14">
        <v>6.4057031249997176E-3</v>
      </c>
      <c r="U138" s="14">
        <v>1.3963124999999965E-3</v>
      </c>
      <c r="V138" s="14">
        <v>0</v>
      </c>
      <c r="W138" s="14">
        <v>0</v>
      </c>
      <c r="X138" s="14">
        <v>1.5973541666666202E-3</v>
      </c>
      <c r="Y138" s="14">
        <v>2.906333333333011E-3</v>
      </c>
      <c r="Z138" s="14">
        <v>1.8435267857125348E-4</v>
      </c>
      <c r="AA138" s="14">
        <v>0</v>
      </c>
      <c r="AB138" s="14">
        <v>0</v>
      </c>
      <c r="AC138" s="14">
        <v>0</v>
      </c>
      <c r="AD138" s="14">
        <v>1.5346249999999562E-3</v>
      </c>
      <c r="AE138" s="14">
        <v>6.4426818181813617E-3</v>
      </c>
      <c r="AF138">
        <v>4.453812499999843E-2</v>
      </c>
      <c r="AG138">
        <v>0</v>
      </c>
      <c r="AH138">
        <v>0</v>
      </c>
      <c r="AI138">
        <v>0</v>
      </c>
      <c r="AJ138">
        <v>1.9644999999997581E-3</v>
      </c>
      <c r="AK138">
        <v>2.3928632812497685E-3</v>
      </c>
      <c r="AL138">
        <v>3.1844374999995817E-3</v>
      </c>
      <c r="AM138">
        <v>0</v>
      </c>
      <c r="AN138">
        <v>0</v>
      </c>
      <c r="AO138">
        <v>4.2407499999996823E-4</v>
      </c>
      <c r="AP138">
        <v>0</v>
      </c>
    </row>
    <row r="139" spans="1:42" x14ac:dyDescent="0.2">
      <c r="A139">
        <v>5.7484736000000002E-2</v>
      </c>
      <c r="B139">
        <v>3.3991666666665643E-3</v>
      </c>
      <c r="C139" s="14">
        <v>0</v>
      </c>
      <c r="D139" s="14">
        <v>4.3204999999999494E-3</v>
      </c>
      <c r="E139" s="14">
        <v>7.0268749999999325E-3</v>
      </c>
      <c r="F139" s="14">
        <v>7.8071249999999703E-3</v>
      </c>
      <c r="G139" s="14">
        <v>0</v>
      </c>
      <c r="H139" s="14">
        <v>8.6614062500000033E-3</v>
      </c>
      <c r="I139" s="14">
        <v>1.8210562499999916E-2</v>
      </c>
      <c r="J139" s="14">
        <v>2.0808208333333356E-2</v>
      </c>
      <c r="K139" s="14">
        <v>1.7772500000000635E-3</v>
      </c>
      <c r="L139" s="14">
        <v>2.2544562499999921E-2</v>
      </c>
      <c r="M139" s="14">
        <v>0</v>
      </c>
      <c r="N139" s="14">
        <v>0</v>
      </c>
      <c r="O139" s="14">
        <v>1.5449125000000008E-2</v>
      </c>
      <c r="P139" s="14">
        <v>1.7801062499999964E-2</v>
      </c>
      <c r="Q139" s="14">
        <v>2.4270656249999911E-2</v>
      </c>
      <c r="R139" s="14">
        <v>1.3588468749999805E-2</v>
      </c>
      <c r="S139" s="14">
        <v>1.2726774999999968E-2</v>
      </c>
      <c r="T139" s="14">
        <v>4.0126093749996983E-3</v>
      </c>
      <c r="U139" s="14">
        <v>6.6224374999999114E-3</v>
      </c>
      <c r="V139" s="14">
        <v>0</v>
      </c>
      <c r="W139" s="14">
        <v>0</v>
      </c>
      <c r="X139" s="14">
        <v>8.6200624999999143E-3</v>
      </c>
      <c r="Y139" s="14">
        <v>1.3566999999999774E-2</v>
      </c>
      <c r="Z139" s="14">
        <v>3.0837723214283685E-3</v>
      </c>
      <c r="AA139" s="14">
        <v>0</v>
      </c>
      <c r="AB139" s="14">
        <v>0</v>
      </c>
      <c r="AC139" s="14">
        <v>3.8624999999999354E-3</v>
      </c>
      <c r="AD139" s="14">
        <v>0</v>
      </c>
      <c r="AE139" s="14">
        <v>7.0594090909086304E-3</v>
      </c>
      <c r="AF139">
        <v>4.8703374999998439E-2</v>
      </c>
      <c r="AG139">
        <v>2.1464999999996071E-3</v>
      </c>
      <c r="AH139">
        <v>6.3186249999999666E-3</v>
      </c>
      <c r="AI139">
        <v>0</v>
      </c>
      <c r="AJ139">
        <v>4.9424999999996833E-3</v>
      </c>
      <c r="AK139">
        <v>2.5382460937498075E-3</v>
      </c>
      <c r="AL139">
        <v>2.6408124999995342E-3</v>
      </c>
      <c r="AM139">
        <v>2.3831249999998749E-3</v>
      </c>
      <c r="AN139">
        <v>2.187500000000453E-4</v>
      </c>
      <c r="AO139">
        <v>0</v>
      </c>
      <c r="AP139">
        <v>5.9684107142856102E-3</v>
      </c>
    </row>
    <row r="140" spans="1:42" x14ac:dyDescent="0.2">
      <c r="A140">
        <v>6.2319900000000004E-2</v>
      </c>
      <c r="B140">
        <v>6.8084999641858657E-3</v>
      </c>
      <c r="C140" s="14">
        <v>3.6640417232228772E-3</v>
      </c>
      <c r="D140" s="14">
        <v>8.8048334125102046E-3</v>
      </c>
      <c r="E140" s="14">
        <v>6.7534584520899665E-3</v>
      </c>
      <c r="F140" s="14">
        <v>1.1115208488851891E-2</v>
      </c>
      <c r="G140" s="14">
        <v>0</v>
      </c>
      <c r="H140" s="14">
        <v>9.5503438616882375E-3</v>
      </c>
      <c r="I140" s="14">
        <v>1.9632937669655459E-2</v>
      </c>
      <c r="J140" s="14">
        <v>1.7035125050885891E-2</v>
      </c>
      <c r="K140" s="14">
        <v>0</v>
      </c>
      <c r="L140" s="14">
        <v>2.4814937661175873E-2</v>
      </c>
      <c r="M140" s="14">
        <v>1.0425062679557007E-2</v>
      </c>
      <c r="N140" s="14">
        <v>9.0970833895703818E-3</v>
      </c>
      <c r="O140" s="14">
        <v>2.4582208497331504E-2</v>
      </c>
      <c r="P140" s="14">
        <v>2.3105771008641862E-2</v>
      </c>
      <c r="Q140" s="14">
        <v>2.5904093863808042E-2</v>
      </c>
      <c r="R140" s="14">
        <v>1.4247531351437637E-2</v>
      </c>
      <c r="S140" s="14">
        <v>1.1767625121727909E-2</v>
      </c>
      <c r="T140" s="14">
        <v>9.6351564620833496E-4</v>
      </c>
      <c r="U140" s="14">
        <v>1.4637562629713607E-2</v>
      </c>
      <c r="V140" s="14">
        <v>5.06762516211956E-3</v>
      </c>
      <c r="W140" s="14">
        <v>5.2497188178686205E-3</v>
      </c>
      <c r="X140" s="14">
        <v>1.2361770955386098E-2</v>
      </c>
      <c r="Y140" s="14">
        <v>1.766566675180653E-2</v>
      </c>
      <c r="Z140" s="14">
        <v>5.5451920263910326E-3</v>
      </c>
      <c r="AA140" s="14">
        <v>1.5739765890099289E-3</v>
      </c>
      <c r="AB140" s="14">
        <v>4.6736072232427817E-3</v>
      </c>
      <c r="AC140" s="14">
        <v>1.0447166788723761E-2</v>
      </c>
      <c r="AD140" s="14">
        <v>6.3814590496563683E-4</v>
      </c>
      <c r="AE140" s="14">
        <v>6.5821364129902138E-3</v>
      </c>
      <c r="AF140">
        <v>5.2322625327055339E-2</v>
      </c>
      <c r="AG140">
        <v>4.7002999507976262E-3</v>
      </c>
      <c r="AH140">
        <v>1.0822374930121226E-2</v>
      </c>
      <c r="AI140">
        <v>1.4984999729067972E-3</v>
      </c>
      <c r="AJ140">
        <v>1.2295499895659867E-2</v>
      </c>
      <c r="AK140">
        <v>1.5896288572977424E-3</v>
      </c>
      <c r="AL140">
        <v>7.456187431814143E-3</v>
      </c>
      <c r="AM140">
        <v>7.3988748998223275E-3</v>
      </c>
      <c r="AN140">
        <v>5.4675004524140647E-4</v>
      </c>
      <c r="AO140">
        <v>2.0093749575867403E-3</v>
      </c>
      <c r="AP140">
        <v>1.0641017803824315E-2</v>
      </c>
    </row>
    <row r="141" spans="1:42" x14ac:dyDescent="0.2">
      <c r="A141">
        <v>6.7155064E-2</v>
      </c>
      <c r="B141">
        <v>1.04358332258912E-2</v>
      </c>
      <c r="C141" s="14">
        <v>2.2421251696684852E-3</v>
      </c>
      <c r="D141" s="14">
        <v>9.3511669041972945E-3</v>
      </c>
      <c r="E141" s="14">
        <v>9.9800420229367304E-3</v>
      </c>
      <c r="F141" s="14">
        <v>1.5955292133222554E-2</v>
      </c>
      <c r="G141" s="14">
        <v>2.0512502092482898E-3</v>
      </c>
      <c r="H141" s="14">
        <v>9.3452815850647575E-3</v>
      </c>
      <c r="I141" s="14">
        <v>1.4273313008966448E-2</v>
      </c>
      <c r="J141" s="14">
        <v>7.5740418193243619E-3</v>
      </c>
      <c r="K141" s="14">
        <v>2.515625361905971E-3</v>
      </c>
      <c r="L141" s="14">
        <v>1.4724312983527776E-2</v>
      </c>
      <c r="M141" s="14">
        <v>1.6563688038670865E-2</v>
      </c>
      <c r="N141" s="14">
        <v>2.3428250168711584E-2</v>
      </c>
      <c r="O141" s="14">
        <v>2.5839292158661209E-2</v>
      </c>
      <c r="P141" s="14">
        <v>1.7035479692592281E-2</v>
      </c>
      <c r="Q141" s="14">
        <v>1.6600531591424328E-2</v>
      </c>
      <c r="R141" s="14">
        <v>9.7665940543133489E-3</v>
      </c>
      <c r="S141" s="14">
        <v>3.7004753651839195E-3</v>
      </c>
      <c r="T141" s="14">
        <v>9.6184219386254433E-3</v>
      </c>
      <c r="U141" s="14">
        <v>1.1852187889141108E-2</v>
      </c>
      <c r="V141" s="14">
        <v>1.6734875486358713E-2</v>
      </c>
      <c r="W141" s="14">
        <v>1.1047406453605968E-2</v>
      </c>
      <c r="X141" s="14">
        <v>1.3040479532825167E-2</v>
      </c>
      <c r="Y141" s="14">
        <v>1.5967333588753463E-2</v>
      </c>
      <c r="Z141" s="14">
        <v>2.7576117934591249E-3</v>
      </c>
      <c r="AA141" s="14">
        <v>4.4896172670296774E-3</v>
      </c>
      <c r="AB141" s="14">
        <v>9.9122502411572166E-3</v>
      </c>
      <c r="AC141" s="14">
        <v>1.189183369950475E-2</v>
      </c>
      <c r="AD141" s="14">
        <v>5.0854377148970009E-3</v>
      </c>
      <c r="AE141" s="14">
        <v>1.0042863784426148E-2</v>
      </c>
      <c r="AF141">
        <v>5.5502875981169431E-2</v>
      </c>
      <c r="AG141">
        <v>6.8170998523935378E-3</v>
      </c>
      <c r="AH141">
        <v>1.2920124790363807E-2</v>
      </c>
      <c r="AI141">
        <v>9.944999187204151E-4</v>
      </c>
      <c r="AJ141">
        <v>1.0351499686980348E-2</v>
      </c>
      <c r="AK141">
        <v>3.8130115718935653E-3</v>
      </c>
      <c r="AL141">
        <v>1.5772562295443437E-2</v>
      </c>
      <c r="AM141">
        <v>9.8986246994671734E-3</v>
      </c>
      <c r="AN141">
        <v>3.2825013572435058E-4</v>
      </c>
      <c r="AO141">
        <v>1.5445248727602445E-3</v>
      </c>
      <c r="AP141">
        <v>1.564062484004447E-2</v>
      </c>
    </row>
    <row r="142" spans="1:42" x14ac:dyDescent="0.2">
      <c r="A142">
        <v>7.1990232000000001E-2</v>
      </c>
      <c r="B142">
        <v>1.1110166809922661E-2</v>
      </c>
      <c r="C142" s="14">
        <v>1.1758208107108703E-2</v>
      </c>
      <c r="D142" s="14">
        <v>5.9604996832923751E-3</v>
      </c>
      <c r="E142" s="14">
        <v>4.0196245249728979E-3</v>
      </c>
      <c r="F142" s="14">
        <v>1.1607374377925139E-2</v>
      </c>
      <c r="G142" s="14">
        <v>1.0782749721002238E-2</v>
      </c>
      <c r="H142" s="14">
        <v>3.4522183032467124E-3</v>
      </c>
      <c r="I142" s="14">
        <v>1.4766868213775264E-3</v>
      </c>
      <c r="J142" s="14">
        <v>0</v>
      </c>
      <c r="K142" s="14">
        <v>1.4255041184125239E-2</v>
      </c>
      <c r="L142" s="14">
        <v>0</v>
      </c>
      <c r="M142" s="14">
        <v>1.5702311781772005E-2</v>
      </c>
      <c r="N142" s="14">
        <v>3.7869416441717096E-2</v>
      </c>
      <c r="O142" s="14">
        <v>1.0910374344007046E-2</v>
      </c>
      <c r="P142" s="14">
        <v>6.1521867987655021E-3</v>
      </c>
      <c r="Q142" s="14">
        <v>4.0159682947670805E-3</v>
      </c>
      <c r="R142" s="14">
        <v>5.1766558442483124E-3</v>
      </c>
      <c r="S142" s="14">
        <v>0</v>
      </c>
      <c r="T142" s="14">
        <v>1.9366328040165526E-2</v>
      </c>
      <c r="U142" s="14">
        <v>3.2698119811445658E-3</v>
      </c>
      <c r="V142" s="14">
        <v>2.0417124351521432E-2</v>
      </c>
      <c r="W142" s="14">
        <v>1.542209347852519E-2</v>
      </c>
      <c r="X142" s="14">
        <v>1.054718701178825E-2</v>
      </c>
      <c r="Y142" s="14">
        <v>1.5362999659439047E-2</v>
      </c>
      <c r="Z142" s="14">
        <v>6.0940310015779597E-3</v>
      </c>
      <c r="AA142" s="14">
        <v>9.1552577064604179E-3</v>
      </c>
      <c r="AB142" s="14">
        <v>1.3618892535599392E-2</v>
      </c>
      <c r="AC142" s="14">
        <v>1.0383499511770977E-2</v>
      </c>
      <c r="AD142" s="14">
        <v>8.76772888013716E-3</v>
      </c>
      <c r="AE142" s="14">
        <v>1.5033590711672984E-2</v>
      </c>
      <c r="AF142">
        <v>5.5184123691769615E-2</v>
      </c>
      <c r="AG142">
        <v>6.7459001968078192E-3</v>
      </c>
      <c r="AH142">
        <v>1.3923875279514719E-2</v>
      </c>
      <c r="AI142">
        <v>1.9125001083726834E-3</v>
      </c>
      <c r="AJ142">
        <v>1.7266500417358832E-2</v>
      </c>
      <c r="AK142">
        <v>1.2490394727058207E-2</v>
      </c>
      <c r="AL142">
        <v>1.5227937772741118E-2</v>
      </c>
      <c r="AM142">
        <v>1.3437625400710085E-2</v>
      </c>
      <c r="AN142">
        <v>2.1874981903402535E-4</v>
      </c>
      <c r="AO142">
        <v>2.8296751696529343E-3</v>
      </c>
      <c r="AP142">
        <v>1.7359232356130905E-2</v>
      </c>
    </row>
    <row r="143" spans="1:42" x14ac:dyDescent="0.2">
      <c r="A143">
        <v>7.6825392000000006E-2</v>
      </c>
      <c r="B143">
        <v>1.1675499856743821E-2</v>
      </c>
      <c r="C143" s="14">
        <v>8.5862918928912846E-3</v>
      </c>
      <c r="D143" s="14">
        <v>1.257833650040896E-3</v>
      </c>
      <c r="E143" s="14">
        <v>5.9332088083601242E-3</v>
      </c>
      <c r="F143" s="14">
        <v>6.3844589554080122E-3</v>
      </c>
      <c r="G143" s="14">
        <v>1.4483250278997772E-2</v>
      </c>
      <c r="H143" s="14">
        <v>9.5911566967530337E-3</v>
      </c>
      <c r="I143" s="14">
        <v>0</v>
      </c>
      <c r="J143" s="14">
        <v>4.6562544490041935E-4</v>
      </c>
      <c r="K143" s="14">
        <v>2.1838458815874706E-2</v>
      </c>
      <c r="L143" s="14">
        <v>0</v>
      </c>
      <c r="M143" s="14">
        <v>5.2159382182279668E-3</v>
      </c>
      <c r="N143" s="14">
        <v>3.6122583558282351E-2</v>
      </c>
      <c r="O143" s="14">
        <v>0</v>
      </c>
      <c r="P143" s="14">
        <v>0</v>
      </c>
      <c r="Q143" s="14">
        <v>3.5714067052325382E-3</v>
      </c>
      <c r="R143" s="14">
        <v>1.0976719155751324E-2</v>
      </c>
      <c r="S143" s="14">
        <v>0</v>
      </c>
      <c r="T143" s="14">
        <v>3.0208234459834116E-2</v>
      </c>
      <c r="U143" s="14">
        <v>1.9054380188548992E-3</v>
      </c>
      <c r="V143" s="14">
        <v>1.5130375648478467E-2</v>
      </c>
      <c r="W143" s="14">
        <v>1.7390781521474719E-2</v>
      </c>
      <c r="X143" s="14">
        <v>6.4138963215448208E-3</v>
      </c>
      <c r="Y143" s="14">
        <v>1.4320667007227061E-2</v>
      </c>
      <c r="Z143" s="14">
        <v>9.3214511412789136E-3</v>
      </c>
      <c r="AA143" s="14">
        <v>7.9138985435395215E-3</v>
      </c>
      <c r="AB143" s="14">
        <v>1.6122536035828805E-2</v>
      </c>
      <c r="AC143" s="14">
        <v>8.0001671548953213E-3</v>
      </c>
      <c r="AD143" s="14">
        <v>1.1685021119862637E-2</v>
      </c>
      <c r="AE143" s="14">
        <v>2.1775318379235131E-2</v>
      </c>
      <c r="AF143">
        <v>4.9724376308226681E-2</v>
      </c>
      <c r="AG143">
        <v>7.5496998031914231E-3</v>
      </c>
      <c r="AH143">
        <v>1.8536624720485062E-2</v>
      </c>
      <c r="AI143">
        <v>2.1744998916272129E-3</v>
      </c>
      <c r="AJ143">
        <v>2.0025499582640494E-2</v>
      </c>
      <c r="AK143">
        <v>2.0257771479414433E-3</v>
      </c>
      <c r="AL143">
        <v>1.6981312227258016E-2</v>
      </c>
      <c r="AM143">
        <v>1.7523124599289508E-2</v>
      </c>
      <c r="AN143">
        <v>3.2825018096604985E-4</v>
      </c>
      <c r="AO143">
        <v>3.0218248303470197E-3</v>
      </c>
      <c r="AP143">
        <v>1.8858839072440181E-2</v>
      </c>
    </row>
    <row r="144" spans="1:42" x14ac:dyDescent="0.2">
      <c r="A144">
        <v>8.1660560000000007E-2</v>
      </c>
      <c r="B144">
        <v>7.8658333333332386E-3</v>
      </c>
      <c r="C144" s="14">
        <v>4.1013749999999627E-3</v>
      </c>
      <c r="D144" s="14">
        <v>0</v>
      </c>
      <c r="E144" s="14">
        <v>7.8477916666664926E-3</v>
      </c>
      <c r="F144" s="14">
        <v>5.3185416666666208E-3</v>
      </c>
      <c r="G144" s="14">
        <v>1.2495749999999972E-2</v>
      </c>
      <c r="H144" s="14">
        <v>1.6604093749999826E-2</v>
      </c>
      <c r="I144" s="14">
        <v>4.7574374999998503E-3</v>
      </c>
      <c r="J144" s="14">
        <v>5.7332916666665845E-3</v>
      </c>
      <c r="K144" s="14">
        <v>1.7171875000000003E-2</v>
      </c>
      <c r="L144" s="14">
        <v>8.5174374999997804E-3</v>
      </c>
      <c r="M144" s="14">
        <v>0</v>
      </c>
      <c r="N144" s="14">
        <v>1.9499749999999705E-2</v>
      </c>
      <c r="O144" s="14">
        <v>6.3541666666666607E-5</v>
      </c>
      <c r="P144" s="14">
        <v>3.417604166666588E-3</v>
      </c>
      <c r="Q144" s="14">
        <v>2.1611843749999804E-2</v>
      </c>
      <c r="R144" s="14">
        <v>1.9730781249999885E-2</v>
      </c>
      <c r="S144" s="14">
        <v>5.7470249999999612E-3</v>
      </c>
      <c r="T144" s="14">
        <v>2.4753140624999836E-2</v>
      </c>
      <c r="U144" s="14">
        <v>9.1830624999997279E-3</v>
      </c>
      <c r="V144" s="14">
        <v>3.1716249999999557E-3</v>
      </c>
      <c r="W144" s="14">
        <v>6.9994687499999597E-3</v>
      </c>
      <c r="X144" s="14">
        <v>1.0921604166666543E-2</v>
      </c>
      <c r="Y144" s="14">
        <v>1.9075333333333111E-2</v>
      </c>
      <c r="Z144" s="14">
        <v>6.6428705357142181E-3</v>
      </c>
      <c r="AA144" s="14">
        <v>7.6575390624999407E-3</v>
      </c>
      <c r="AB144" s="14">
        <v>1.1845178571428416E-2</v>
      </c>
      <c r="AC144" s="14">
        <v>3.1008333333331639E-3</v>
      </c>
      <c r="AD144" s="14">
        <v>7.9293124999998965E-3</v>
      </c>
      <c r="AE144" s="14">
        <v>2.261004545454498E-2</v>
      </c>
      <c r="AF144">
        <v>4.1749624999998125E-2</v>
      </c>
      <c r="AG144">
        <v>3.1034999999996482E-3</v>
      </c>
      <c r="AH144">
        <v>1.1857124999999857E-2</v>
      </c>
      <c r="AI144">
        <v>4.6849999999998282E-4</v>
      </c>
      <c r="AJ144">
        <v>2.2893499999999678E-2</v>
      </c>
      <c r="AK144">
        <v>1.1249160156249938E-2</v>
      </c>
      <c r="AL144">
        <v>2.0156687499999604E-2</v>
      </c>
      <c r="AM144">
        <v>1.1806687499999746E-2</v>
      </c>
      <c r="AN144">
        <v>0</v>
      </c>
      <c r="AO144">
        <v>2.7749749999999573E-3</v>
      </c>
      <c r="AP144">
        <v>2.0249446428571183E-2</v>
      </c>
    </row>
    <row r="145" spans="1:42" x14ac:dyDescent="0.2">
      <c r="A145">
        <v>8.6495728000000008E-2</v>
      </c>
      <c r="B145">
        <v>1.6491666666665905E-3</v>
      </c>
      <c r="C145" s="14">
        <v>0</v>
      </c>
      <c r="D145" s="14">
        <v>4.0974999999998651E-4</v>
      </c>
      <c r="E145" s="14">
        <v>1.1949374999999873E-2</v>
      </c>
      <c r="F145" s="14">
        <v>8.8456249999999126E-3</v>
      </c>
      <c r="G145" s="14">
        <v>4.8212499999998881E-3</v>
      </c>
      <c r="H145" s="14">
        <v>1.5743031249999817E-2</v>
      </c>
      <c r="I145" s="14">
        <v>1.3179812499999832E-2</v>
      </c>
      <c r="J145" s="14">
        <v>1.6251458333333246E-2</v>
      </c>
      <c r="K145" s="14">
        <v>2.0052916666666309E-3</v>
      </c>
      <c r="L145" s="14">
        <v>1.7567812499999835E-2</v>
      </c>
      <c r="M145" s="14">
        <v>0</v>
      </c>
      <c r="N145" s="14">
        <v>8.5659166666663955E-3</v>
      </c>
      <c r="O145" s="14">
        <v>1.2222624999999987E-2</v>
      </c>
      <c r="P145" s="14">
        <v>1.4410312499999911E-2</v>
      </c>
      <c r="Q145" s="14">
        <v>3.1229281249999796E-2</v>
      </c>
      <c r="R145" s="14">
        <v>1.8202843749999864E-2</v>
      </c>
      <c r="S145" s="14">
        <v>7.9598749999999496E-3</v>
      </c>
      <c r="T145" s="14">
        <v>2.6730468749999736E-3</v>
      </c>
      <c r="U145" s="14">
        <v>1.6568687499999735E-2</v>
      </c>
      <c r="V145" s="14">
        <v>0</v>
      </c>
      <c r="W145" s="14">
        <v>0</v>
      </c>
      <c r="X145" s="14">
        <v>1.6413312499999888E-2</v>
      </c>
      <c r="Y145" s="14">
        <v>2.1314999999999751E-2</v>
      </c>
      <c r="Z145" s="14">
        <v>1.0112901785714334E-3</v>
      </c>
      <c r="AA145" s="14">
        <v>0</v>
      </c>
      <c r="AB145" s="14">
        <v>1.00288214285712E-2</v>
      </c>
      <c r="AC145" s="14">
        <v>3.7804999999998534E-3</v>
      </c>
      <c r="AD145" s="14">
        <v>1.7686041666665764E-3</v>
      </c>
      <c r="AE145" s="14">
        <v>1.5570772727272308E-2</v>
      </c>
      <c r="AF145">
        <v>2.7539874999998104E-2</v>
      </c>
      <c r="AG145">
        <v>0</v>
      </c>
      <c r="AH145">
        <v>7.0911249999998649E-3</v>
      </c>
      <c r="AI145">
        <v>0</v>
      </c>
      <c r="AJ145">
        <v>2.390249999999966E-2</v>
      </c>
      <c r="AK145">
        <v>4.6135429687498841E-3</v>
      </c>
      <c r="AL145">
        <v>1.5238062499999649E-2</v>
      </c>
      <c r="AM145">
        <v>8.1956249999997621E-3</v>
      </c>
      <c r="AN145">
        <v>1.9453234374999906E-2</v>
      </c>
      <c r="AO145">
        <v>1.5451249999999805E-3</v>
      </c>
      <c r="AP145">
        <v>1.5187053571428355E-2</v>
      </c>
    </row>
    <row r="146" spans="1:42" x14ac:dyDescent="0.2">
      <c r="A146">
        <v>9.1330896000000009E-2</v>
      </c>
      <c r="B146">
        <v>0</v>
      </c>
      <c r="C146" s="14">
        <v>2.2966123774742497E-3</v>
      </c>
      <c r="D146" s="14">
        <v>5.058234923494942E-3</v>
      </c>
      <c r="E146" s="14">
        <v>1.2987950970326789E-2</v>
      </c>
      <c r="F146" s="14">
        <v>1.3904698691059314E-2</v>
      </c>
      <c r="G146" s="14">
        <v>5.4597456754825746E-3</v>
      </c>
      <c r="H146" s="14">
        <v>1.3787961825242112E-2</v>
      </c>
      <c r="I146" s="14">
        <v>1.7008176981228418E-2</v>
      </c>
      <c r="J146" s="14">
        <v>1.4081868103960171E-2</v>
      </c>
      <c r="K146" s="14">
        <v>0</v>
      </c>
      <c r="L146" s="14">
        <v>1.5791177506966569E-2</v>
      </c>
      <c r="M146" s="14">
        <v>5.5326520571282733E-3</v>
      </c>
      <c r="N146" s="14">
        <v>1.7647079846577485E-2</v>
      </c>
      <c r="O146" s="14">
        <v>2.2412695126297844E-2</v>
      </c>
      <c r="P146" s="14">
        <v>1.9059009964069618E-2</v>
      </c>
      <c r="Q146" s="14">
        <v>2.7941711693807547E-2</v>
      </c>
      <c r="R146" s="14">
        <v>1.0002899960776412E-2</v>
      </c>
      <c r="S146" s="14">
        <v>5.5797174527714155E-3</v>
      </c>
      <c r="T146" s="14">
        <v>0</v>
      </c>
      <c r="U146" s="14">
        <v>1.5642304457647582E-2</v>
      </c>
      <c r="V146" s="14">
        <v>3.7911973467937288E-3</v>
      </c>
      <c r="W146" s="14">
        <v>2.6432550282595724E-4</v>
      </c>
      <c r="X146" s="14">
        <v>1.9389013265962096E-2</v>
      </c>
      <c r="Y146" s="14">
        <v>1.644466138791284E-2</v>
      </c>
      <c r="Z146" s="14">
        <v>0</v>
      </c>
      <c r="AA146" s="14">
        <v>0</v>
      </c>
      <c r="AB146" s="14">
        <v>8.8277093017341546E-3</v>
      </c>
      <c r="AC146" s="14">
        <v>6.9751590990282386E-3</v>
      </c>
      <c r="AD146" s="14">
        <v>4.793891392074201E-3</v>
      </c>
      <c r="AE146" s="14">
        <v>7.7654969399933438E-3</v>
      </c>
      <c r="AF146">
        <v>2.5580104722211061E-2</v>
      </c>
      <c r="AG146">
        <v>9.9310305056365955E-4</v>
      </c>
      <c r="AH146">
        <v>7.8768793325315611E-3</v>
      </c>
      <c r="AI146">
        <v>3.5728285005537375E-4</v>
      </c>
      <c r="AJ146">
        <v>2.1302506469144333E-2</v>
      </c>
      <c r="AK146">
        <v>6.8369288163162567E-3</v>
      </c>
      <c r="AL146">
        <v>1.195944172754404E-2</v>
      </c>
      <c r="AM146">
        <v>8.070381211083888E-3</v>
      </c>
      <c r="AN146">
        <v>4.1044368820688515E-2</v>
      </c>
      <c r="AO146">
        <v>3.1427762965280381E-4</v>
      </c>
      <c r="AP146">
        <v>9.1406640200706879E-3</v>
      </c>
    </row>
    <row r="147" spans="1:42" x14ac:dyDescent="0.2">
      <c r="A147">
        <v>9.6166048000000004E-2</v>
      </c>
      <c r="B147">
        <v>0</v>
      </c>
      <c r="C147" s="14">
        <v>6.015843647274699E-3</v>
      </c>
      <c r="D147" s="14">
        <v>4.4567125519067718E-3</v>
      </c>
      <c r="E147" s="14">
        <v>9.2145233779086233E-3</v>
      </c>
      <c r="F147" s="14">
        <v>9.7757677165022927E-3</v>
      </c>
      <c r="G147" s="14">
        <v>1.0910239258456689E-2</v>
      </c>
      <c r="H147" s="14">
        <v>8.1138890497952643E-3</v>
      </c>
      <c r="I147" s="14">
        <v>6.8355363727288787E-3</v>
      </c>
      <c r="J147" s="14">
        <v>1.6312745377936033E-3</v>
      </c>
      <c r="K147" s="14">
        <v>4.4024759051817797E-3</v>
      </c>
      <c r="L147" s="14">
        <v>5.5915376785946602E-3</v>
      </c>
      <c r="M147" s="14">
        <v>1.2768963711791759E-2</v>
      </c>
      <c r="N147" s="14">
        <v>2.7384241339348636E-2</v>
      </c>
      <c r="O147" s="14">
        <v>2.2977758862094577E-2</v>
      </c>
      <c r="P147" s="14">
        <v>1.1456702168818278E-2</v>
      </c>
      <c r="Q147" s="14">
        <v>1.0544138723328711E-2</v>
      </c>
      <c r="R147" s="14">
        <v>2.7195312838018681E-4</v>
      </c>
      <c r="S147" s="14">
        <v>2.2425562536581012E-3</v>
      </c>
      <c r="T147" s="14">
        <v>5.5782169047930985E-3</v>
      </c>
      <c r="U147" s="14">
        <v>6.731917523834785E-3</v>
      </c>
      <c r="V147" s="14">
        <v>1.2796597710853341E-2</v>
      </c>
      <c r="W147" s="14">
        <v>7.026980550029982E-3</v>
      </c>
      <c r="X147" s="14">
        <v>1.153671037029308E-2</v>
      </c>
      <c r="Y147" s="14">
        <v>9.6053202215903299E-3</v>
      </c>
      <c r="Z147" s="14">
        <v>2.680100614547043E-3</v>
      </c>
      <c r="AA147" s="14">
        <v>4.9493456803910707E-3</v>
      </c>
      <c r="AB147" s="14">
        <v>7.9581572632938524E-3</v>
      </c>
      <c r="AC147" s="14">
        <v>7.3258145362961602E-3</v>
      </c>
      <c r="AD147" s="14">
        <v>6.0701764684854553E-3</v>
      </c>
      <c r="AE147" s="14">
        <v>6.1942196720662923E-3</v>
      </c>
      <c r="AF147">
        <v>2.427632463259155E-2</v>
      </c>
      <c r="AG147">
        <v>3.2179075772069687E-3</v>
      </c>
      <c r="AH147">
        <v>9.1266357614495641E-3</v>
      </c>
      <c r="AI147">
        <v>3.6084772433114809E-4</v>
      </c>
      <c r="AJ147">
        <v>7.8735160685202699E-3</v>
      </c>
      <c r="AK147">
        <v>2.3883161324629865E-3</v>
      </c>
      <c r="AL147">
        <v>5.1818230006743238E-3</v>
      </c>
      <c r="AM147">
        <v>5.8671404275312811E-3</v>
      </c>
      <c r="AN147">
        <v>3.6768492715903989E-2</v>
      </c>
      <c r="AO147">
        <v>0</v>
      </c>
      <c r="AP147">
        <v>5.6092760682863729E-3</v>
      </c>
    </row>
    <row r="148" spans="1:42" x14ac:dyDescent="0.2">
      <c r="A148">
        <v>0.10100099999999999</v>
      </c>
      <c r="B148">
        <v>1.0925162875274896E-4</v>
      </c>
      <c r="C148" s="14">
        <v>8.4221323293873773E-3</v>
      </c>
      <c r="D148" s="14">
        <v>7.9325875431335291E-4</v>
      </c>
      <c r="E148" s="14">
        <v>3.6911292753983305E-3</v>
      </c>
      <c r="F148" s="14">
        <v>5.6468805988763582E-3</v>
      </c>
      <c r="G148" s="14">
        <v>1.0235752511071283E-2</v>
      </c>
      <c r="H148" s="14">
        <v>0</v>
      </c>
      <c r="I148" s="14">
        <v>0</v>
      </c>
      <c r="J148" s="14">
        <v>0</v>
      </c>
      <c r="K148" s="14">
        <v>1.4920505632692371E-2</v>
      </c>
      <c r="L148" s="14">
        <v>0</v>
      </c>
      <c r="M148" s="14">
        <v>1.2350341816498078E-2</v>
      </c>
      <c r="N148" s="14">
        <v>3.1324418691283717E-2</v>
      </c>
      <c r="O148" s="14">
        <v>9.979882668788409E-3</v>
      </c>
      <c r="P148" s="14">
        <v>1.8864438113393445E-3</v>
      </c>
      <c r="Q148" s="14">
        <v>0</v>
      </c>
      <c r="R148" s="14">
        <v>0</v>
      </c>
      <c r="S148" s="14">
        <v>0</v>
      </c>
      <c r="T148" s="14">
        <v>1.6297091070063996E-2</v>
      </c>
      <c r="U148" s="14">
        <v>8.5671698665246154E-6</v>
      </c>
      <c r="V148" s="14">
        <v>1.4255048046103336E-2</v>
      </c>
      <c r="W148" s="14">
        <v>9.5246712135237943E-3</v>
      </c>
      <c r="X148" s="14">
        <v>4.2314418940646581E-3</v>
      </c>
      <c r="Y148" s="14">
        <v>4.9540030651574751E-3</v>
      </c>
      <c r="Z148" s="14">
        <v>5.4138807006345879E-3</v>
      </c>
      <c r="AA148" s="14">
        <v>6.8262985207684368E-3</v>
      </c>
      <c r="AB148" s="14">
        <v>6.8767528939943645E-3</v>
      </c>
      <c r="AC148" s="14">
        <v>3.8485043942197428E-3</v>
      </c>
      <c r="AD148" s="14">
        <v>5.4864817455250736E-3</v>
      </c>
      <c r="AE148" s="14">
        <v>4.294956322275445E-3</v>
      </c>
      <c r="AF148">
        <v>2.8441636774484635E-2</v>
      </c>
      <c r="AG148">
        <v>2.0536982286614158E-3</v>
      </c>
      <c r="AH148">
        <v>1.0322372484274867E-2</v>
      </c>
      <c r="AI148">
        <v>9.3840532091288287E-4</v>
      </c>
      <c r="AJ148">
        <v>4.2894962436306194E-3</v>
      </c>
      <c r="AK148">
        <v>0</v>
      </c>
      <c r="AL148">
        <v>4.9661850452367151E-3</v>
      </c>
      <c r="AM148">
        <v>4.3208713934758669E-3</v>
      </c>
      <c r="AN148">
        <v>3.2875465785876412E-2</v>
      </c>
      <c r="AO148">
        <v>2.6012428800237242E-4</v>
      </c>
      <c r="AP148">
        <v>4.0468730804649189E-3</v>
      </c>
    </row>
    <row r="149" spans="1:42" x14ac:dyDescent="0.2">
      <c r="A149">
        <v>0.105836</v>
      </c>
      <c r="B149">
        <v>0</v>
      </c>
      <c r="C149" s="14">
        <v>6.8903774431290365E-3</v>
      </c>
      <c r="D149" s="14">
        <v>8.4775291810446074E-4</v>
      </c>
      <c r="E149" s="14">
        <v>1.2307097584661197E-3</v>
      </c>
      <c r="F149" s="14">
        <v>1.0799601996254182E-3</v>
      </c>
      <c r="G149" s="14">
        <v>1.4592250837023701E-2</v>
      </c>
      <c r="H149" s="14">
        <v>4.7782590308242945E-5</v>
      </c>
      <c r="I149" s="14">
        <v>0</v>
      </c>
      <c r="J149" s="14">
        <v>6.3708771490228466E-3</v>
      </c>
      <c r="K149" s="14">
        <v>2.1282501877564142E-2</v>
      </c>
      <c r="L149" s="14">
        <v>0</v>
      </c>
      <c r="M149" s="14">
        <v>3.6186694943882713E-3</v>
      </c>
      <c r="N149" s="14">
        <v>2.7718584008205593E-2</v>
      </c>
      <c r="O149" s="14">
        <v>7.0196088959612046E-4</v>
      </c>
      <c r="P149" s="14">
        <v>0</v>
      </c>
      <c r="Q149" s="14">
        <v>0</v>
      </c>
      <c r="R149" s="14">
        <v>0</v>
      </c>
      <c r="S149" s="14">
        <v>0</v>
      </c>
      <c r="T149" s="14">
        <v>3.0186919245576871E-2</v>
      </c>
      <c r="U149" s="14">
        <v>0</v>
      </c>
      <c r="V149" s="14">
        <v>9.1504604598121042E-3</v>
      </c>
      <c r="W149" s="14">
        <v>8.6313348489523434E-3</v>
      </c>
      <c r="X149" s="14">
        <v>0</v>
      </c>
      <c r="Y149" s="14">
        <v>0</v>
      </c>
      <c r="Z149" s="14">
        <v>8.9136269002115243E-3</v>
      </c>
      <c r="AA149" s="14">
        <v>1.0126210618033871E-2</v>
      </c>
      <c r="AB149" s="14">
        <v>6.0993938218075749E-3</v>
      </c>
      <c r="AC149" s="14">
        <v>0</v>
      </c>
      <c r="AD149" s="14">
        <v>5.4507716929527716E-3</v>
      </c>
      <c r="AE149" s="14">
        <v>1.2020682410455286E-2</v>
      </c>
      <c r="AF149">
        <v>2.4185878924827153E-2</v>
      </c>
      <c r="AG149">
        <v>3.4044994095537295E-3</v>
      </c>
      <c r="AH149">
        <v>1.1216124161424923E-2</v>
      </c>
      <c r="AI149">
        <v>2.0346844030427746E-4</v>
      </c>
      <c r="AJ149">
        <v>1.5794987478768285E-3</v>
      </c>
      <c r="AK149">
        <v>0</v>
      </c>
      <c r="AL149">
        <v>3.0005616817455061E-3</v>
      </c>
      <c r="AM149">
        <v>3.4296237978252431E-3</v>
      </c>
      <c r="AN149">
        <v>2.9091863595291811E-2</v>
      </c>
      <c r="AO149">
        <v>2.3237476266746437E-4</v>
      </c>
      <c r="AP149">
        <v>6.5314815030120821E-3</v>
      </c>
    </row>
    <row r="150" spans="1:42" x14ac:dyDescent="0.2">
      <c r="A150">
        <v>0.11067099999999999</v>
      </c>
      <c r="B150">
        <v>1.3625000000017096E-5</v>
      </c>
      <c r="C150" s="14">
        <v>3.82812499999996E-3</v>
      </c>
      <c r="D150" s="14">
        <v>0</v>
      </c>
      <c r="E150" s="14">
        <v>0</v>
      </c>
      <c r="F150" s="14">
        <v>0</v>
      </c>
      <c r="G150" s="14">
        <v>7.3547499999999655E-3</v>
      </c>
      <c r="H150" s="14">
        <v>5.3117187499999163E-3</v>
      </c>
      <c r="I150" s="14">
        <v>5.591624999999989E-3</v>
      </c>
      <c r="J150" s="14">
        <v>2.2795125000000027E-2</v>
      </c>
      <c r="K150" s="14">
        <v>1.6269500000000048E-2</v>
      </c>
      <c r="L150" s="14">
        <v>1.0321687499999899E-2</v>
      </c>
      <c r="M150" s="14">
        <v>0</v>
      </c>
      <c r="N150" s="14">
        <v>1.0221749999999863E-2</v>
      </c>
      <c r="O150" s="14">
        <v>0</v>
      </c>
      <c r="P150" s="14">
        <v>2.9169166666666024E-3</v>
      </c>
      <c r="Q150" s="14">
        <v>1.3695468749999884E-2</v>
      </c>
      <c r="R150" s="14">
        <v>9.5200833333333179E-3</v>
      </c>
      <c r="S150" s="14">
        <v>1.007729166666671E-2</v>
      </c>
      <c r="T150" s="14">
        <v>2.6249750000000016E-2</v>
      </c>
      <c r="U150" s="14">
        <v>7.4528124999997947E-3</v>
      </c>
      <c r="V150" s="14">
        <v>1.0887499999995276E-4</v>
      </c>
      <c r="W150" s="14">
        <v>2.9259999999999842E-3</v>
      </c>
      <c r="X150" s="14">
        <v>0</v>
      </c>
      <c r="Y150" s="14">
        <v>0</v>
      </c>
      <c r="Z150" s="14">
        <v>7.7113750000000203E-3</v>
      </c>
      <c r="AA150" s="14">
        <v>9.8161249999999534E-3</v>
      </c>
      <c r="AB150" s="14">
        <v>7.2803571428559088E-4</v>
      </c>
      <c r="AC150" s="14">
        <v>2.6000000000003798E-4</v>
      </c>
      <c r="AD150" s="14">
        <v>4.3200624999999993E-3</v>
      </c>
      <c r="AE150" s="14">
        <v>6.7314090909089686E-3</v>
      </c>
      <c r="AF150">
        <v>1.9492124999998528E-2</v>
      </c>
      <c r="AG150">
        <v>3.2242999999999022E-3</v>
      </c>
      <c r="AH150">
        <v>1.09078749999999E-2</v>
      </c>
      <c r="AI150">
        <v>0</v>
      </c>
      <c r="AJ150">
        <v>9.4749999999993451E-4</v>
      </c>
      <c r="AK150">
        <v>3.1988749999999899E-3</v>
      </c>
      <c r="AL150">
        <v>3.6599374999999323E-3</v>
      </c>
      <c r="AM150">
        <v>6.2583749999999272E-3</v>
      </c>
      <c r="AN150">
        <v>2.4597015624999607E-2</v>
      </c>
      <c r="AO150">
        <v>0</v>
      </c>
      <c r="AP150">
        <v>1.5780892857142348E-3</v>
      </c>
    </row>
    <row r="151" spans="1:42" x14ac:dyDescent="0.2">
      <c r="A151">
        <v>0.115506</v>
      </c>
      <c r="B151">
        <v>0</v>
      </c>
      <c r="C151" s="14">
        <v>7.6587499999991593E-4</v>
      </c>
      <c r="D151" s="14">
        <v>0</v>
      </c>
      <c r="E151" s="14">
        <v>7.6562499999999201E-4</v>
      </c>
      <c r="F151" s="14">
        <v>2.0235625000000201E-3</v>
      </c>
      <c r="G151" s="14">
        <v>1.8682499999999047E-3</v>
      </c>
      <c r="H151" s="14">
        <v>6.6376562499998459E-3</v>
      </c>
      <c r="I151" s="14">
        <v>1.5243875000000018E-2</v>
      </c>
      <c r="J151" s="14">
        <v>2.2595374999999973E-2</v>
      </c>
      <c r="K151" s="14">
        <v>3.3814999999999817E-3</v>
      </c>
      <c r="L151" s="14">
        <v>2.167006249999992E-2</v>
      </c>
      <c r="M151" s="14">
        <v>0</v>
      </c>
      <c r="N151" s="14">
        <v>0</v>
      </c>
      <c r="O151" s="14">
        <v>1.1129125000000017E-2</v>
      </c>
      <c r="P151" s="14">
        <v>1.4874749999999992E-2</v>
      </c>
      <c r="Q151" s="14">
        <v>2.3969906249999895E-2</v>
      </c>
      <c r="R151" s="14">
        <v>1.1862916666666667E-2</v>
      </c>
      <c r="S151" s="14">
        <v>1.7088208333333355E-2</v>
      </c>
      <c r="T151" s="14">
        <v>9.1875833333333046E-3</v>
      </c>
      <c r="U151" s="14">
        <v>1.1995437499999817E-2</v>
      </c>
      <c r="V151" s="14">
        <v>0</v>
      </c>
      <c r="W151" s="14">
        <v>0</v>
      </c>
      <c r="X151" s="14">
        <v>3.760249999999965E-3</v>
      </c>
      <c r="Y151" s="14">
        <v>3.2612499999999378E-3</v>
      </c>
      <c r="Z151" s="14">
        <v>4.6481250000000029E-3</v>
      </c>
      <c r="AA151" s="14">
        <v>3.6000416666666646E-3</v>
      </c>
      <c r="AB151" s="14">
        <v>1.4826785714285307E-3</v>
      </c>
      <c r="AC151" s="14">
        <v>0</v>
      </c>
      <c r="AD151" s="14">
        <v>0</v>
      </c>
      <c r="AE151" s="14">
        <v>2.9731363636362751E-3</v>
      </c>
      <c r="AF151">
        <v>7.797374999998441E-3</v>
      </c>
      <c r="AG151">
        <v>2.7150999999999703E-3</v>
      </c>
      <c r="AH151">
        <v>3.9276249999999902E-3</v>
      </c>
      <c r="AI151">
        <v>0</v>
      </c>
      <c r="AJ151">
        <v>0</v>
      </c>
      <c r="AK151">
        <v>1.5036250000000084E-3</v>
      </c>
      <c r="AL151">
        <v>1.256312500000023E-3</v>
      </c>
      <c r="AM151">
        <v>7.7312499999993012E-4</v>
      </c>
      <c r="AN151">
        <v>2.2290171874999487E-2</v>
      </c>
      <c r="AO151">
        <v>8.3412500000001888E-4</v>
      </c>
      <c r="AP151">
        <v>2.3126964285714591E-3</v>
      </c>
    </row>
    <row r="152" spans="1:42" x14ac:dyDescent="0.2">
      <c r="A152">
        <v>0.12034099999999999</v>
      </c>
      <c r="B152">
        <v>0</v>
      </c>
      <c r="C152" s="14">
        <v>0</v>
      </c>
      <c r="D152" s="14">
        <v>9.0250788439660834E-4</v>
      </c>
      <c r="E152" s="14">
        <v>2.515454167097475E-3</v>
      </c>
      <c r="F152" s="14">
        <v>2.1330675602316829E-3</v>
      </c>
      <c r="G152" s="14">
        <v>0</v>
      </c>
      <c r="H152" s="14">
        <v>2.9873995902697792E-3</v>
      </c>
      <c r="I152" s="14">
        <v>1.3959214067831682E-2</v>
      </c>
      <c r="J152" s="14">
        <v>1.3644714533140312E-2</v>
      </c>
      <c r="K152" s="14">
        <v>0</v>
      </c>
      <c r="L152" s="14">
        <v>1.365751808241128E-2</v>
      </c>
      <c r="M152" s="14">
        <v>3.9376982085617129E-3</v>
      </c>
      <c r="N152" s="14">
        <v>1.1579166149656706E-3</v>
      </c>
      <c r="O152" s="14">
        <v>1.7892356297177114E-2</v>
      </c>
      <c r="P152" s="14">
        <v>1.5677711508634062E-2</v>
      </c>
      <c r="Q152" s="14">
        <v>1.6307400650139525E-2</v>
      </c>
      <c r="R152" s="14">
        <v>5.564804191224626E-3</v>
      </c>
      <c r="S152" s="14">
        <v>6.7091922672594673E-3</v>
      </c>
      <c r="T152" s="14">
        <v>0</v>
      </c>
      <c r="U152" s="14">
        <v>6.694127352393664E-3</v>
      </c>
      <c r="V152" s="14">
        <v>2.1102059249301641E-3</v>
      </c>
      <c r="W152" s="14">
        <v>0</v>
      </c>
      <c r="X152" s="14">
        <v>2.8755189225519451E-3</v>
      </c>
      <c r="Y152" s="14">
        <v>3.0288524971563979E-3</v>
      </c>
      <c r="Z152" s="14">
        <v>0</v>
      </c>
      <c r="AA152" s="14">
        <v>0</v>
      </c>
      <c r="AB152" s="14">
        <v>0</v>
      </c>
      <c r="AC152" s="14">
        <v>6.0199940543892438E-4</v>
      </c>
      <c r="AD152" s="14">
        <v>0</v>
      </c>
      <c r="AE152" s="14">
        <v>0</v>
      </c>
      <c r="AF152">
        <v>0</v>
      </c>
      <c r="AG152">
        <v>0</v>
      </c>
      <c r="AH152">
        <v>0</v>
      </c>
      <c r="AI152">
        <v>2.051091536552363E-4</v>
      </c>
      <c r="AJ152">
        <v>8.2027261917072547E-4</v>
      </c>
      <c r="AK152">
        <v>0</v>
      </c>
      <c r="AL152">
        <v>0</v>
      </c>
      <c r="AM152">
        <v>0</v>
      </c>
      <c r="AN152">
        <v>8.3895039518918635E-3</v>
      </c>
      <c r="AO152">
        <v>0</v>
      </c>
      <c r="AP152">
        <v>0</v>
      </c>
    </row>
    <row r="153" spans="1:42" x14ac:dyDescent="0.2">
      <c r="A153">
        <v>0.12517699999999998</v>
      </c>
      <c r="B153">
        <v>0</v>
      </c>
      <c r="C153" s="14">
        <v>2.3511469255160788E-3</v>
      </c>
      <c r="D153" s="14">
        <v>8.1992115603335414E-5</v>
      </c>
      <c r="E153" s="14">
        <v>5.4704583290249298E-4</v>
      </c>
      <c r="F153" s="14">
        <v>4.9218243976834053E-4</v>
      </c>
      <c r="G153" s="14">
        <v>1.9681563523247236E-3</v>
      </c>
      <c r="H153" s="14">
        <v>0</v>
      </c>
      <c r="I153" s="14">
        <v>2.6112859321683612E-3</v>
      </c>
      <c r="J153" s="14">
        <v>0</v>
      </c>
      <c r="K153" s="14">
        <v>4.1284431030916835E-3</v>
      </c>
      <c r="L153" s="14">
        <v>3.1307319175886694E-3</v>
      </c>
      <c r="M153" s="14">
        <v>9.624551791438285E-3</v>
      </c>
      <c r="N153" s="14">
        <v>1.6049916718367585E-2</v>
      </c>
      <c r="O153" s="14">
        <v>1.7436143702822871E-2</v>
      </c>
      <c r="P153" s="14">
        <v>6.4162884913659401E-3</v>
      </c>
      <c r="Q153" s="14">
        <v>2.5187243498604461E-3</v>
      </c>
      <c r="R153" s="14">
        <v>0</v>
      </c>
      <c r="S153" s="14">
        <v>0</v>
      </c>
      <c r="T153" s="14">
        <v>0</v>
      </c>
      <c r="U153" s="14">
        <v>0</v>
      </c>
      <c r="V153" s="14">
        <v>8.2987940750697264E-3</v>
      </c>
      <c r="W153" s="14">
        <v>3.6366799107296899E-3</v>
      </c>
      <c r="X153" s="14">
        <v>2.3194810774480046E-3</v>
      </c>
      <c r="Y153" s="14">
        <v>2.8014750284355294E-4</v>
      </c>
      <c r="Z153" s="14">
        <v>0</v>
      </c>
      <c r="AA153" s="14">
        <v>1.9003148071553566E-3</v>
      </c>
      <c r="AB153" s="14">
        <v>2.3610637472856744E-3</v>
      </c>
      <c r="AC153" s="14">
        <v>1.6955005945610835E-3</v>
      </c>
      <c r="AD153" s="14">
        <v>2.8876680992141468E-3</v>
      </c>
      <c r="AE153" s="14">
        <v>3.6821430910272124E-4</v>
      </c>
      <c r="AF153">
        <v>5.6287114827824336E-3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1.1078456080033106E-3</v>
      </c>
      <c r="AM153">
        <v>1.1242287379794602E-3</v>
      </c>
      <c r="AN153">
        <v>9.0353085481073014E-3</v>
      </c>
      <c r="AO153">
        <v>3.7565710629722249E-4</v>
      </c>
      <c r="AP153">
        <v>0</v>
      </c>
    </row>
    <row r="154" spans="1:42" x14ac:dyDescent="0.2">
      <c r="A154">
        <v>0.13001199999999999</v>
      </c>
      <c r="B154">
        <v>8.8625000000008836E-5</v>
      </c>
      <c r="C154" s="14">
        <v>5.8149583333333421E-3</v>
      </c>
      <c r="D154" s="14">
        <v>8.8868749999999608E-3</v>
      </c>
      <c r="E154" s="14">
        <v>0</v>
      </c>
      <c r="F154" s="14">
        <v>0</v>
      </c>
      <c r="G154" s="14">
        <v>7.802291666666572E-3</v>
      </c>
      <c r="H154" s="14">
        <v>0</v>
      </c>
      <c r="I154" s="14">
        <v>0</v>
      </c>
      <c r="J154" s="14">
        <v>0</v>
      </c>
      <c r="K154" s="14">
        <v>1.5704374999999993E-2</v>
      </c>
      <c r="L154" s="14">
        <v>0</v>
      </c>
      <c r="M154" s="14">
        <v>6.7808125000000108E-3</v>
      </c>
      <c r="N154" s="14">
        <v>2.6568541666666556E-2</v>
      </c>
      <c r="O154" s="14">
        <v>4.7303750000000089E-3</v>
      </c>
      <c r="P154" s="14">
        <v>0</v>
      </c>
      <c r="Q154" s="14">
        <v>0</v>
      </c>
      <c r="R154" s="14">
        <v>1.1440416666667064E-3</v>
      </c>
      <c r="S154" s="14">
        <v>5.3291666666666071E-4</v>
      </c>
      <c r="T154" s="14">
        <v>1.5130874999999988E-2</v>
      </c>
      <c r="U154" s="14">
        <v>0</v>
      </c>
      <c r="V154" s="14">
        <v>1.011200000000001E-2</v>
      </c>
      <c r="W154" s="14">
        <v>7.3004583333333151E-3</v>
      </c>
      <c r="X154" s="14">
        <v>0</v>
      </c>
      <c r="Y154" s="14">
        <v>0</v>
      </c>
      <c r="Z154" s="14">
        <v>3.7531562499998894E-3</v>
      </c>
      <c r="AA154" s="14">
        <v>5.8654999999999125E-3</v>
      </c>
      <c r="AB154" s="14">
        <v>6.9617499999999888E-3</v>
      </c>
      <c r="AC154" s="14">
        <v>0</v>
      </c>
      <c r="AD154" s="14">
        <v>6.709406249999994E-3</v>
      </c>
      <c r="AE154" s="14">
        <v>3.4952916666665668E-3</v>
      </c>
      <c r="AF154">
        <v>1.2965124999998912E-2</v>
      </c>
      <c r="AG154">
        <v>2.0002083333333642E-3</v>
      </c>
      <c r="AH154">
        <v>5.0509999999999722E-3</v>
      </c>
      <c r="AI154">
        <v>1.4898333333333014E-3</v>
      </c>
      <c r="AJ154">
        <v>1.6039583333333218E-3</v>
      </c>
      <c r="AK154">
        <v>9.3419791666671248E-4</v>
      </c>
      <c r="AL154">
        <v>4.2356250000002982E-4</v>
      </c>
      <c r="AM154">
        <v>4.3171874999999305E-3</v>
      </c>
      <c r="AN154">
        <v>1.1212640624999604E-2</v>
      </c>
      <c r="AO154">
        <v>4.4381250000002925E-4</v>
      </c>
      <c r="AP154">
        <v>3.4316562499999703E-3</v>
      </c>
    </row>
    <row r="155" spans="1:42" x14ac:dyDescent="0.2">
      <c r="A155">
        <v>0.13484699999999999</v>
      </c>
      <c r="B155">
        <v>8.1387500000007496E-4</v>
      </c>
      <c r="C155" s="14">
        <v>5.3415416666666715E-3</v>
      </c>
      <c r="D155" s="14">
        <v>0</v>
      </c>
      <c r="E155" s="14">
        <v>2.2414999999999519E-3</v>
      </c>
      <c r="F155" s="14">
        <v>0</v>
      </c>
      <c r="G155" s="14">
        <v>1.1448208333333265E-2</v>
      </c>
      <c r="H155" s="14">
        <v>6.2894999999999479E-3</v>
      </c>
      <c r="I155" s="14">
        <v>0</v>
      </c>
      <c r="J155" s="14">
        <v>5.6325000000000403E-3</v>
      </c>
      <c r="K155" s="14">
        <v>2.3124124999999995E-2</v>
      </c>
      <c r="L155" s="14">
        <v>3.622375000000011E-3</v>
      </c>
      <c r="M155" s="14">
        <v>2.2969374999999848E-3</v>
      </c>
      <c r="N155" s="14">
        <v>2.669595833333327E-2</v>
      </c>
      <c r="O155" s="14">
        <v>3.3745833333337361E-4</v>
      </c>
      <c r="P155" s="14">
        <v>0</v>
      </c>
      <c r="Q155" s="14">
        <v>1.5447500000000391E-3</v>
      </c>
      <c r="R155" s="14">
        <v>6.3851249999999915E-3</v>
      </c>
      <c r="S155" s="14">
        <v>8.1617499999999676E-3</v>
      </c>
      <c r="T155" s="14">
        <v>2.7592624999999982E-2</v>
      </c>
      <c r="U155" s="14">
        <v>6.0020000000000073E-3</v>
      </c>
      <c r="V155" s="14">
        <v>2.411000000000052E-3</v>
      </c>
      <c r="W155" s="14">
        <v>6.0430416666666376E-3</v>
      </c>
      <c r="X155" s="14">
        <v>0</v>
      </c>
      <c r="Y155" s="14">
        <v>0</v>
      </c>
      <c r="Z155" s="14">
        <v>7.1572187499999163E-3</v>
      </c>
      <c r="AA155" s="14">
        <v>6.8774999999999253E-3</v>
      </c>
      <c r="AB155" s="14">
        <v>4.234249999999995E-3</v>
      </c>
      <c r="AC155" s="14">
        <v>1.3671250000000246E-3</v>
      </c>
      <c r="AD155" s="14">
        <v>3.2029687499999238E-3</v>
      </c>
      <c r="AE155" s="14">
        <v>6.9492083333332899E-3</v>
      </c>
      <c r="AF155">
        <v>1.5709374999999026E-2</v>
      </c>
      <c r="AG155">
        <v>3.5956249999999912E-3</v>
      </c>
      <c r="AH155">
        <v>7.3349999999999249E-3</v>
      </c>
      <c r="AI155">
        <v>2.2834999999999939E-3</v>
      </c>
      <c r="AJ155">
        <v>2.07887499999998E-3</v>
      </c>
      <c r="AK155">
        <v>3.0210937500000368E-3</v>
      </c>
      <c r="AL155">
        <v>1.2711874999999928E-3</v>
      </c>
      <c r="AM155">
        <v>3.5720624999999173E-3</v>
      </c>
      <c r="AN155">
        <v>1.6014796874999626E-2</v>
      </c>
      <c r="AO155">
        <v>0</v>
      </c>
      <c r="AP155">
        <v>5.9197187499999693E-3</v>
      </c>
    </row>
    <row r="156" spans="1:42" x14ac:dyDescent="0.2">
      <c r="A156">
        <v>0.139682</v>
      </c>
      <c r="B156">
        <v>9.9112500000003712E-4</v>
      </c>
      <c r="C156" s="14">
        <v>4.921249999999544E-4</v>
      </c>
      <c r="D156" s="14">
        <v>1.4768124999999799E-3</v>
      </c>
      <c r="E156" s="14">
        <v>6.0701666666665988E-3</v>
      </c>
      <c r="F156" s="14">
        <v>1.321291666666613E-3</v>
      </c>
      <c r="G156" s="14">
        <v>8.750124999999831E-3</v>
      </c>
      <c r="H156" s="14">
        <v>1.1429833333333306E-2</v>
      </c>
      <c r="I156" s="14">
        <v>1.4109083333333328E-2</v>
      </c>
      <c r="J156" s="14">
        <v>1.9450500000000037E-2</v>
      </c>
      <c r="K156" s="14">
        <v>1.6980874999999951E-2</v>
      </c>
      <c r="L156" s="14">
        <v>1.8981291666666678E-2</v>
      </c>
      <c r="M156" s="14">
        <v>0</v>
      </c>
      <c r="N156" s="14">
        <v>1.3042374999999939E-2</v>
      </c>
      <c r="O156" s="14">
        <v>0</v>
      </c>
      <c r="P156" s="14">
        <v>2.9258125000000135E-3</v>
      </c>
      <c r="Q156" s="14">
        <v>2.0147916666666654E-2</v>
      </c>
      <c r="R156" s="14">
        <v>1.4141208333333322E-2</v>
      </c>
      <c r="S156" s="14">
        <v>1.7431583333333334E-2</v>
      </c>
      <c r="T156" s="14">
        <v>2.988337499999999E-2</v>
      </c>
      <c r="U156" s="14">
        <v>1.2665333333333306E-2</v>
      </c>
      <c r="V156" s="14">
        <v>9.4300000000002715E-4</v>
      </c>
      <c r="W156" s="14">
        <v>2.4886250000000221E-3</v>
      </c>
      <c r="X156" s="14">
        <v>2.0301875000000025E-3</v>
      </c>
      <c r="Y156" s="14">
        <v>1.7641666666666223E-3</v>
      </c>
      <c r="Z156" s="14">
        <v>5.3112812499998552E-3</v>
      </c>
      <c r="AA156" s="14">
        <v>6.2484999999999347E-3</v>
      </c>
      <c r="AB156" s="14">
        <v>2.92874999999998E-3</v>
      </c>
      <c r="AC156" s="14">
        <v>1.5858750000000699E-3</v>
      </c>
      <c r="AD156" s="14">
        <v>2.7585312499999737E-3</v>
      </c>
      <c r="AE156" s="14">
        <v>6.9041249999999832E-3</v>
      </c>
      <c r="AF156">
        <v>1.4843624999999361E-2</v>
      </c>
      <c r="AG156">
        <v>4.8620416666667055E-3</v>
      </c>
      <c r="AH156">
        <v>9.3989999999999352E-3</v>
      </c>
      <c r="AI156">
        <v>2.7481666666666626E-3</v>
      </c>
      <c r="AJ156">
        <v>3.8647916666666449E-3</v>
      </c>
      <c r="AK156">
        <v>2.1557395833333715E-3</v>
      </c>
      <c r="AL156">
        <v>4.788125000000365E-4</v>
      </c>
      <c r="AM156">
        <v>2.4714374999998956E-3</v>
      </c>
      <c r="AN156">
        <v>1.2613953124999688E-2</v>
      </c>
      <c r="AO156">
        <v>1.227500000000048E-4</v>
      </c>
      <c r="AP156">
        <v>5.4547812499999848E-3</v>
      </c>
    </row>
    <row r="157" spans="1:42" x14ac:dyDescent="0.2">
      <c r="A157">
        <v>0.14451700000000001</v>
      </c>
      <c r="B157">
        <v>0</v>
      </c>
      <c r="C157" s="14">
        <v>0</v>
      </c>
      <c r="D157" s="14">
        <v>4.8674374999998493E-3</v>
      </c>
      <c r="E157" s="14">
        <v>1.1647833333333302E-2</v>
      </c>
      <c r="F157" s="14">
        <v>4.9132083333333076E-3</v>
      </c>
      <c r="G157" s="14">
        <v>3.4270416666666303E-3</v>
      </c>
      <c r="H157" s="14">
        <v>1.9195166666666652E-2</v>
      </c>
      <c r="I157" s="14">
        <v>2.1764916666666689E-2</v>
      </c>
      <c r="J157" s="14">
        <v>2.3862500000000009E-2</v>
      </c>
      <c r="K157" s="14">
        <v>2.3056249999999778E-3</v>
      </c>
      <c r="L157" s="14">
        <v>2.7339208333333254E-2</v>
      </c>
      <c r="M157" s="14">
        <v>3.0217499999999897E-3</v>
      </c>
      <c r="N157" s="14">
        <v>0</v>
      </c>
      <c r="O157" s="14">
        <v>1.3289374999999992E-2</v>
      </c>
      <c r="P157" s="14">
        <v>1.7089437499999971E-2</v>
      </c>
      <c r="Q157" s="14">
        <v>3.2844083333333329E-2</v>
      </c>
      <c r="R157" s="14">
        <v>1.8179291666666653E-2</v>
      </c>
      <c r="S157" s="14">
        <v>2.0904416666666648E-2</v>
      </c>
      <c r="T157" s="14">
        <v>1.3251124999999975E-2</v>
      </c>
      <c r="U157" s="14">
        <v>1.4515666666666649E-2</v>
      </c>
      <c r="V157" s="14">
        <v>0</v>
      </c>
      <c r="W157" s="14">
        <v>0</v>
      </c>
      <c r="X157" s="14">
        <v>6.2005625000000064E-3</v>
      </c>
      <c r="Y157" s="14">
        <v>5.0728333333332487E-3</v>
      </c>
      <c r="Z157" s="14">
        <v>2.700343749999945E-3</v>
      </c>
      <c r="AA157" s="14">
        <v>3.2134999999999247E-3</v>
      </c>
      <c r="AB157" s="14">
        <v>5.2924999999998112E-4</v>
      </c>
      <c r="AC157" s="14">
        <v>5.4136249999999775E-3</v>
      </c>
      <c r="AD157" s="14">
        <v>8.9209374999998925E-4</v>
      </c>
      <c r="AE157" s="14">
        <v>2.2650416666666895E-3</v>
      </c>
      <c r="AF157">
        <v>1.4633874999999463E-2</v>
      </c>
      <c r="AG157">
        <v>3.5044583333332935E-3</v>
      </c>
      <c r="AH157">
        <v>7.5259999999999772E-3</v>
      </c>
      <c r="AI157">
        <v>2.9938333333332512E-3</v>
      </c>
      <c r="AJ157">
        <v>5.1070833333327625E-4</v>
      </c>
      <c r="AK157">
        <v>2.274385416666691E-3</v>
      </c>
      <c r="AL157">
        <v>7.794374999999798E-4</v>
      </c>
      <c r="AM157">
        <v>2.081812499999891E-3</v>
      </c>
      <c r="AN157">
        <v>1.1291109374999775E-2</v>
      </c>
      <c r="AO157">
        <v>0</v>
      </c>
      <c r="AP157">
        <v>5.0998437499999438E-3</v>
      </c>
    </row>
    <row r="158" spans="1:42" x14ac:dyDescent="0.2">
      <c r="A158">
        <v>0.14935199999999998</v>
      </c>
      <c r="B158">
        <v>0</v>
      </c>
      <c r="C158" s="14">
        <v>0</v>
      </c>
      <c r="D158" s="14">
        <v>5.6332491081583225E-3</v>
      </c>
      <c r="E158" s="14">
        <v>4.9766866060041437E-3</v>
      </c>
      <c r="F158" s="14">
        <v>5.8792899303760082E-3</v>
      </c>
      <c r="G158" s="14">
        <v>0</v>
      </c>
      <c r="H158" s="14">
        <v>5.5236753007272821E-3</v>
      </c>
      <c r="I158" s="14">
        <v>1.8921919639471985E-2</v>
      </c>
      <c r="J158" s="14">
        <v>1.449270168545147E-2</v>
      </c>
      <c r="K158" s="14">
        <v>0</v>
      </c>
      <c r="L158" s="14">
        <v>1.9947269663598999E-2</v>
      </c>
      <c r="M158" s="14">
        <v>8.2077732395822722E-3</v>
      </c>
      <c r="N158" s="14">
        <v>8.9338323337817549E-4</v>
      </c>
      <c r="O158" s="14">
        <v>1.6534186407817175E-2</v>
      </c>
      <c r="P158" s="14">
        <v>1.6598257587116139E-2</v>
      </c>
      <c r="Q158" s="14">
        <v>2.4213385241098839E-2</v>
      </c>
      <c r="R158" s="14">
        <v>1.1607522498535139E-2</v>
      </c>
      <c r="S158" s="14">
        <v>1.5408415399993103E-2</v>
      </c>
      <c r="T158" s="14">
        <v>0</v>
      </c>
      <c r="U158" s="14">
        <v>9.3651588081204995E-3</v>
      </c>
      <c r="V158" s="14">
        <v>5.7729808189443954E-4</v>
      </c>
      <c r="W158" s="14">
        <v>0</v>
      </c>
      <c r="X158" s="14">
        <v>5.1200894814393827E-3</v>
      </c>
      <c r="Y158" s="14">
        <v>2.9126456071416063E-3</v>
      </c>
      <c r="Z158" s="14">
        <v>0</v>
      </c>
      <c r="AA158" s="14">
        <v>0</v>
      </c>
      <c r="AB158" s="14">
        <v>3.9269362527142859E-3</v>
      </c>
      <c r="AC158" s="14">
        <v>6.1794994054389374E-3</v>
      </c>
      <c r="AD158" s="14">
        <v>0</v>
      </c>
      <c r="AE158" s="14">
        <v>0</v>
      </c>
      <c r="AF158">
        <v>4.143288517216126E-3</v>
      </c>
      <c r="AG158">
        <v>5.0596783338502371E-4</v>
      </c>
      <c r="AH158">
        <v>4.5590968359011663E-3</v>
      </c>
      <c r="AI158">
        <v>0</v>
      </c>
      <c r="AJ158">
        <v>8.7569097473544355E-4</v>
      </c>
      <c r="AK158">
        <v>2.0509863466383615E-4</v>
      </c>
      <c r="AL158">
        <v>1.4081543919967077E-3</v>
      </c>
      <c r="AM158">
        <v>0</v>
      </c>
      <c r="AN158">
        <v>7.3434414518921409E-3</v>
      </c>
      <c r="AO158">
        <v>5.058051390756102E-4</v>
      </c>
      <c r="AP158">
        <v>1.7909924839726865E-3</v>
      </c>
    </row>
    <row r="159" spans="1:42" x14ac:dyDescent="0.2">
      <c r="A159">
        <v>0.15418799999999999</v>
      </c>
      <c r="B159">
        <v>1.3323286113142707E-5</v>
      </c>
      <c r="C159" s="14">
        <v>0</v>
      </c>
      <c r="D159" s="14">
        <v>1.1485008918415973E-3</v>
      </c>
      <c r="E159" s="14">
        <v>0</v>
      </c>
      <c r="F159" s="14">
        <v>0</v>
      </c>
      <c r="G159" s="14">
        <v>0</v>
      </c>
      <c r="H159" s="14">
        <v>0</v>
      </c>
      <c r="I159" s="14">
        <v>2.2964136938613544E-3</v>
      </c>
      <c r="J159" s="14">
        <v>0</v>
      </c>
      <c r="K159" s="14">
        <v>1.8313677058560129E-3</v>
      </c>
      <c r="L159" s="14">
        <v>2.0548970030676017E-3</v>
      </c>
      <c r="M159" s="14">
        <v>5.7372267604177685E-3</v>
      </c>
      <c r="N159" s="14">
        <v>1.4054116766621827E-2</v>
      </c>
      <c r="O159" s="14">
        <v>1.3216313592182838E-2</v>
      </c>
      <c r="P159" s="14">
        <v>3.6364924128839404E-3</v>
      </c>
      <c r="Q159" s="14">
        <v>2.7842814255678583E-3</v>
      </c>
      <c r="R159" s="14">
        <v>0</v>
      </c>
      <c r="S159" s="14">
        <v>6.7917933340266856E-5</v>
      </c>
      <c r="T159" s="14">
        <v>0</v>
      </c>
      <c r="U159" s="14">
        <v>0</v>
      </c>
      <c r="V159" s="14">
        <v>3.8090019181057366E-3</v>
      </c>
      <c r="W159" s="14">
        <v>1.2437014140213032E-3</v>
      </c>
      <c r="X159" s="14">
        <v>8.6816051856070109E-4</v>
      </c>
      <c r="Y159" s="14">
        <v>7.5202105952504317E-4</v>
      </c>
      <c r="Z159" s="14">
        <v>0</v>
      </c>
      <c r="AA159" s="14">
        <v>0</v>
      </c>
      <c r="AB159" s="14">
        <v>1.3090637472857325E-3</v>
      </c>
      <c r="AC159" s="14">
        <v>2.1330005945611186E-3</v>
      </c>
      <c r="AD159" s="14">
        <v>0</v>
      </c>
      <c r="AE159" s="14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6.5160969866956409E-4</v>
      </c>
      <c r="AL159">
        <v>0</v>
      </c>
      <c r="AM159">
        <v>0</v>
      </c>
      <c r="AN159">
        <v>0</v>
      </c>
      <c r="AO159">
        <v>0</v>
      </c>
      <c r="AP159">
        <v>1.228825160272673E-4</v>
      </c>
    </row>
    <row r="160" spans="1:42" x14ac:dyDescent="0.2">
      <c r="A160">
        <v>0.159023</v>
      </c>
      <c r="B160">
        <v>0</v>
      </c>
      <c r="C160" s="14">
        <v>0</v>
      </c>
      <c r="D160" s="14">
        <v>0</v>
      </c>
      <c r="E160" s="14">
        <v>0</v>
      </c>
      <c r="F160" s="14">
        <v>0</v>
      </c>
      <c r="G160" s="14">
        <v>2.3242500000001387E-3</v>
      </c>
      <c r="H160" s="14">
        <v>0</v>
      </c>
      <c r="I160" s="14">
        <v>0</v>
      </c>
      <c r="J160" s="14">
        <v>0</v>
      </c>
      <c r="K160" s="14">
        <v>1.3261041666666751E-2</v>
      </c>
      <c r="L160" s="14">
        <v>0</v>
      </c>
      <c r="M160" s="14">
        <v>3.7052500000000488E-3</v>
      </c>
      <c r="N160" s="14">
        <v>2.1200624999999973E-2</v>
      </c>
      <c r="O160" s="14">
        <v>2.7412500000001394E-4</v>
      </c>
      <c r="P160" s="14">
        <v>0</v>
      </c>
      <c r="Q160" s="14">
        <v>0</v>
      </c>
      <c r="R160" s="14">
        <v>0</v>
      </c>
      <c r="S160" s="14">
        <v>0</v>
      </c>
      <c r="T160" s="14">
        <v>6.8174583333333594E-3</v>
      </c>
      <c r="U160" s="14">
        <v>2.3679166666668028E-4</v>
      </c>
      <c r="V160" s="14">
        <v>3.6937500000000512E-4</v>
      </c>
      <c r="W160" s="14">
        <v>2.91156250000002E-3</v>
      </c>
      <c r="X160" s="14">
        <v>0</v>
      </c>
      <c r="Y160" s="14">
        <v>0</v>
      </c>
      <c r="Z160" s="14">
        <v>4.1970833333333513E-3</v>
      </c>
      <c r="AA160" s="14">
        <v>5.8112499999996015E-4</v>
      </c>
      <c r="AB160" s="14">
        <v>0</v>
      </c>
      <c r="AC160" s="14">
        <v>0</v>
      </c>
      <c r="AD160" s="14">
        <v>1.3052187500000034E-3</v>
      </c>
      <c r="AE160" s="14">
        <v>2.3104999999999931E-3</v>
      </c>
      <c r="AF160">
        <v>1.6856249999999129E-3</v>
      </c>
      <c r="AG160">
        <v>4.4208333333334293E-4</v>
      </c>
      <c r="AH160">
        <v>2.020312500000121E-4</v>
      </c>
      <c r="AI160">
        <v>0</v>
      </c>
      <c r="AJ160">
        <v>0</v>
      </c>
      <c r="AK160">
        <v>0</v>
      </c>
      <c r="AL160">
        <v>0</v>
      </c>
      <c r="AM160">
        <v>2.1395833333331948E-4</v>
      </c>
      <c r="AN160">
        <v>1.2214166666665305E-3</v>
      </c>
      <c r="AO160">
        <v>0</v>
      </c>
      <c r="AP160">
        <v>0</v>
      </c>
    </row>
    <row r="161" spans="1:42" x14ac:dyDescent="0.2">
      <c r="A161">
        <v>0.163858</v>
      </c>
      <c r="B161">
        <v>4.577499999999235E-4</v>
      </c>
      <c r="C161" s="14">
        <v>1.6948124999999203E-3</v>
      </c>
      <c r="D161" s="14">
        <v>0</v>
      </c>
      <c r="E161" s="14">
        <v>3.6093749999999702E-3</v>
      </c>
      <c r="F161" s="14">
        <v>1.9124999999997616E-4</v>
      </c>
      <c r="G161" s="14">
        <v>6.5347499999999226E-3</v>
      </c>
      <c r="H161" s="14">
        <v>6.9996250000000093E-3</v>
      </c>
      <c r="I161" s="14">
        <v>5.7151249999999876E-3</v>
      </c>
      <c r="J161" s="14">
        <v>6.8364999999999121E-3</v>
      </c>
      <c r="K161" s="14">
        <v>1.8566458333333313E-2</v>
      </c>
      <c r="L161" s="14">
        <v>6.1255000000000059E-3</v>
      </c>
      <c r="M161" s="14">
        <v>0</v>
      </c>
      <c r="N161" s="14">
        <v>1.6861875000000026E-2</v>
      </c>
      <c r="O161" s="14">
        <v>0</v>
      </c>
      <c r="P161" s="14">
        <v>0</v>
      </c>
      <c r="Q161" s="14">
        <v>6.2621250000000073E-3</v>
      </c>
      <c r="R161" s="14">
        <v>1.0390875000000022E-2</v>
      </c>
      <c r="S161" s="14">
        <v>8.9416250000000086E-3</v>
      </c>
      <c r="T161" s="14">
        <v>2.1109374999999986E-2</v>
      </c>
      <c r="U161" s="14">
        <v>6.6173749999999809E-3</v>
      </c>
      <c r="V161" s="14">
        <v>0</v>
      </c>
      <c r="W161" s="14">
        <v>7.5218750000000112E-4</v>
      </c>
      <c r="X161" s="14">
        <v>0</v>
      </c>
      <c r="Y161" s="14">
        <v>0</v>
      </c>
      <c r="Z161" s="14">
        <v>7.6702499999999896E-3</v>
      </c>
      <c r="AA161" s="14">
        <v>4.6963749999999194E-3</v>
      </c>
      <c r="AB161" s="14">
        <v>2.2900000000003473E-4</v>
      </c>
      <c r="AC161" s="14">
        <v>0</v>
      </c>
      <c r="AD161" s="14">
        <v>1.5106562499999643E-3</v>
      </c>
      <c r="AE161" s="14">
        <v>7.4785000000000545E-3</v>
      </c>
      <c r="AF161">
        <v>8.8848749999997922E-3</v>
      </c>
      <c r="AG161">
        <v>1.9822499999999632E-3</v>
      </c>
      <c r="AH161">
        <v>7.6050937499999582E-3</v>
      </c>
      <c r="AI161">
        <v>2.7616249999999343E-3</v>
      </c>
      <c r="AJ161">
        <v>6.4262500000000777E-4</v>
      </c>
      <c r="AK161">
        <v>2.6521249999999497E-3</v>
      </c>
      <c r="AL161">
        <v>2.0922500000000177E-3</v>
      </c>
      <c r="AM161">
        <v>3.4868750000000004E-3</v>
      </c>
      <c r="AN161">
        <v>2.6792499999999109E-3</v>
      </c>
      <c r="AO161">
        <v>0</v>
      </c>
      <c r="AP161">
        <v>2.8983750000000086E-3</v>
      </c>
    </row>
    <row r="162" spans="1:42" x14ac:dyDescent="0.2">
      <c r="A162">
        <v>0.16869299999999998</v>
      </c>
      <c r="B162">
        <v>3.622500000000084E-4</v>
      </c>
      <c r="C162" s="14">
        <v>0</v>
      </c>
      <c r="D162" s="14">
        <v>2.7531666666666954E-3</v>
      </c>
      <c r="E162" s="14">
        <v>4.7026250000000158E-3</v>
      </c>
      <c r="F162" s="14">
        <v>1.2670833333333076E-3</v>
      </c>
      <c r="G162" s="14">
        <v>3.0902500000000721E-3</v>
      </c>
      <c r="H162" s="14">
        <v>1.5677041666666724E-2</v>
      </c>
      <c r="I162" s="14">
        <v>1.6379208333333284E-2</v>
      </c>
      <c r="J162" s="14">
        <v>2.0872166666666692E-2</v>
      </c>
      <c r="K162" s="14">
        <v>1.2057875000000051E-2</v>
      </c>
      <c r="L162" s="14">
        <v>2.1948166666666546E-2</v>
      </c>
      <c r="M162" s="14">
        <v>2.2779166666669903E-4</v>
      </c>
      <c r="N162" s="14">
        <v>3.1171249999999429E-3</v>
      </c>
      <c r="O162" s="14">
        <v>1.1666666666666492E-3</v>
      </c>
      <c r="P162" s="14">
        <v>7.1554999999999813E-3</v>
      </c>
      <c r="Q162" s="14">
        <v>2.5165875000000004E-2</v>
      </c>
      <c r="R162" s="14">
        <v>1.7317791666666638E-2</v>
      </c>
      <c r="S162" s="14">
        <v>1.6433375000000028E-2</v>
      </c>
      <c r="T162" s="14">
        <v>2.5010291666666684E-2</v>
      </c>
      <c r="U162" s="14">
        <v>1.1356958333333333E-2</v>
      </c>
      <c r="V162" s="14">
        <v>1.8016749999999471E-3</v>
      </c>
      <c r="W162" s="14">
        <v>0</v>
      </c>
      <c r="X162" s="14">
        <v>1.3157812500000365E-3</v>
      </c>
      <c r="Y162" s="14">
        <v>3.5775416666666282E-3</v>
      </c>
      <c r="Z162" s="14">
        <v>6.7674166666666924E-3</v>
      </c>
      <c r="AA162" s="14">
        <v>4.8746249999999103E-3</v>
      </c>
      <c r="AB162" s="14">
        <v>2.7509999999999479E-3</v>
      </c>
      <c r="AC162" s="14">
        <v>6.5894062499999295E-3</v>
      </c>
      <c r="AD162" s="14">
        <v>9.5009374999999174E-4</v>
      </c>
      <c r="AE162" s="14">
        <v>4.2244999999999644E-3</v>
      </c>
      <c r="AF162">
        <v>9.3031249999997456E-3</v>
      </c>
      <c r="AG162">
        <v>5.8194166666666325E-3</v>
      </c>
      <c r="AH162">
        <v>9.6491562500000128E-3</v>
      </c>
      <c r="AI162">
        <v>4.2747083333333213E-3</v>
      </c>
      <c r="AJ162">
        <v>2.3470416666666605E-3</v>
      </c>
      <c r="AK162">
        <v>3.1442083333332871E-3</v>
      </c>
      <c r="AL162">
        <v>3.3400833333334101E-3</v>
      </c>
      <c r="AM162">
        <v>4.789791666666654E-3</v>
      </c>
      <c r="AN162">
        <v>8.0750833333332883E-3</v>
      </c>
      <c r="AO162">
        <v>1.2975000000003956E-4</v>
      </c>
      <c r="AP162">
        <v>6.2159583333333268E-3</v>
      </c>
    </row>
    <row r="163" spans="1:42" x14ac:dyDescent="0.2">
      <c r="A163">
        <v>0.17352799999999999</v>
      </c>
      <c r="B163">
        <v>9.227499999999722E-4</v>
      </c>
      <c r="C163" s="14">
        <v>0</v>
      </c>
      <c r="D163" s="14">
        <v>0</v>
      </c>
      <c r="E163" s="14">
        <v>6.2338749999999443E-3</v>
      </c>
      <c r="F163" s="14">
        <v>6.0609166666666381E-3</v>
      </c>
      <c r="G163" s="14">
        <v>1.1757499999999199E-3</v>
      </c>
      <c r="H163" s="14">
        <v>1.8885458333333327E-2</v>
      </c>
      <c r="I163" s="14">
        <v>2.5511291666666658E-2</v>
      </c>
      <c r="J163" s="14">
        <v>2.7689833333333302E-2</v>
      </c>
      <c r="K163" s="14">
        <v>1.613291666666683E-3</v>
      </c>
      <c r="L163" s="14">
        <v>2.9676833333333263E-2</v>
      </c>
      <c r="M163" s="14">
        <v>7.6833749999999923E-3</v>
      </c>
      <c r="N163" s="14">
        <v>0</v>
      </c>
      <c r="O163" s="14">
        <v>1.0938000000000003E-2</v>
      </c>
      <c r="P163" s="14">
        <v>1.7017499999999963E-2</v>
      </c>
      <c r="Q163" s="14">
        <v>3.2693625000000004E-2</v>
      </c>
      <c r="R163" s="14">
        <v>1.8447708333333313E-2</v>
      </c>
      <c r="S163" s="14">
        <v>2.0863124999999982E-2</v>
      </c>
      <c r="T163" s="14">
        <v>1.3052208333333315E-2</v>
      </c>
      <c r="U163" s="14">
        <v>1.3361541666666588E-2</v>
      </c>
      <c r="V163" s="14">
        <v>4.0498249999999514E-3</v>
      </c>
      <c r="W163" s="14">
        <v>6.8249999999991928E-5</v>
      </c>
      <c r="X163" s="14">
        <v>6.9830937500000023E-3</v>
      </c>
      <c r="Y163" s="14">
        <v>8.1799583333332926E-3</v>
      </c>
      <c r="Z163" s="14">
        <v>4.2245833333333094E-3</v>
      </c>
      <c r="AA163" s="14">
        <v>1.5518749999999248E-3</v>
      </c>
      <c r="AB163" s="14">
        <v>5.0549999999999762E-3</v>
      </c>
      <c r="AC163" s="14">
        <v>1.0253968749999953E-2</v>
      </c>
      <c r="AD163" s="14">
        <v>1.9205312499999683E-3</v>
      </c>
      <c r="AE163" s="14">
        <v>1.8454999999999999E-3</v>
      </c>
      <c r="AF163">
        <v>1.5080374999999702E-2</v>
      </c>
      <c r="AG163">
        <v>2.2195833333332748E-3</v>
      </c>
      <c r="AH163">
        <v>9.2862187499999638E-3</v>
      </c>
      <c r="AI163">
        <v>3.8187916666666544E-3</v>
      </c>
      <c r="AJ163">
        <v>3.176458333333354E-3</v>
      </c>
      <c r="AK163">
        <v>4.8402916666666629E-3</v>
      </c>
      <c r="AL163">
        <v>1.7449166666667071E-3</v>
      </c>
      <c r="AM163">
        <v>2.9217083333333282E-3</v>
      </c>
      <c r="AN163">
        <v>5.3779166666666489E-3</v>
      </c>
      <c r="AO163">
        <v>7.1824999999997585E-4</v>
      </c>
      <c r="AP163">
        <v>5.8145416666666172E-3</v>
      </c>
    </row>
    <row r="164" spans="1:42" x14ac:dyDescent="0.2">
      <c r="A164">
        <v>0.17836299999999999</v>
      </c>
      <c r="B164">
        <v>0</v>
      </c>
      <c r="C164" s="14">
        <v>0</v>
      </c>
      <c r="D164" s="14">
        <v>2.6798637851996876E-3</v>
      </c>
      <c r="E164" s="14">
        <v>7.3284982163168699E-3</v>
      </c>
      <c r="F164" s="14">
        <v>6.9180676076241454E-3</v>
      </c>
      <c r="G164" s="14">
        <v>0</v>
      </c>
      <c r="H164" s="14">
        <v>8.0942067435287313E-3</v>
      </c>
      <c r="I164" s="14">
        <v>2.0207637946782375E-2</v>
      </c>
      <c r="J164" s="14">
        <v>2.3570780856857265E-2</v>
      </c>
      <c r="K164" s="14">
        <v>0</v>
      </c>
      <c r="L164" s="14">
        <v>2.2531756350601451E-2</v>
      </c>
      <c r="M164" s="14">
        <v>1.5577177928859487E-2</v>
      </c>
      <c r="N164" s="14">
        <v>4.1475473925478568E-4</v>
      </c>
      <c r="O164" s="14">
        <v>1.9614574604487622E-2</v>
      </c>
      <c r="P164" s="14">
        <v>1.8566759176920633E-2</v>
      </c>
      <c r="Q164" s="14">
        <v>2.491064737359111E-2</v>
      </c>
      <c r="R164" s="14">
        <v>1.0171888886016556E-2</v>
      </c>
      <c r="S164" s="14">
        <v>1.4903143599420909E-2</v>
      </c>
      <c r="T164" s="14">
        <v>0</v>
      </c>
      <c r="U164" s="14">
        <v>1.1867377580739635E-2</v>
      </c>
      <c r="V164" s="14">
        <v>1.121919808189431E-2</v>
      </c>
      <c r="W164" s="14">
        <v>2.3376668907041376E-3</v>
      </c>
      <c r="X164" s="14">
        <v>5.6496221887602505E-3</v>
      </c>
      <c r="Y164" s="14">
        <v>8.0795950694515506E-3</v>
      </c>
      <c r="Z164" s="14">
        <v>1.5100022403757851E-4</v>
      </c>
      <c r="AA164" s="14">
        <v>1.6203646210318778E-3</v>
      </c>
      <c r="AB164" s="14">
        <v>3.7502088718849302E-3</v>
      </c>
      <c r="AC164" s="14">
        <v>1.0527726340347376E-2</v>
      </c>
      <c r="AD164" s="14">
        <v>5.9517868498598636E-4</v>
      </c>
      <c r="AE164" s="14">
        <v>0</v>
      </c>
      <c r="AF164">
        <v>9.9198861286317053E-3</v>
      </c>
      <c r="AG164">
        <v>2.7759304794402473E-3</v>
      </c>
      <c r="AH164">
        <v>9.1434752804777086E-3</v>
      </c>
      <c r="AI164">
        <v>2.379051244269792E-3</v>
      </c>
      <c r="AJ164">
        <v>1.0530130717264496E-3</v>
      </c>
      <c r="AK164">
        <v>4.5665474700995468E-3</v>
      </c>
      <c r="AL164">
        <v>1.5719399062489314E-3</v>
      </c>
      <c r="AM164">
        <v>4.5528064229827803E-3</v>
      </c>
      <c r="AN164">
        <v>4.5389686519835548E-3</v>
      </c>
      <c r="AO164">
        <v>1.0868609761141568E-3</v>
      </c>
      <c r="AP164">
        <v>3.9923323423981527E-3</v>
      </c>
    </row>
    <row r="165" spans="1:42" x14ac:dyDescent="0.2">
      <c r="A165">
        <v>0.183199</v>
      </c>
      <c r="B165">
        <v>0</v>
      </c>
      <c r="C165" s="14">
        <v>4.9148482576777397E-4</v>
      </c>
      <c r="D165" s="14">
        <v>3.5178028814668583E-3</v>
      </c>
      <c r="E165" s="14">
        <v>1.8590017836831452E-3</v>
      </c>
      <c r="F165" s="14">
        <v>6.0242657257091325E-3</v>
      </c>
      <c r="G165" s="14">
        <v>1.6673928066728294E-3</v>
      </c>
      <c r="H165" s="14">
        <v>2.551959923137892E-3</v>
      </c>
      <c r="I165" s="14">
        <v>4.402195386550789E-3</v>
      </c>
      <c r="J165" s="14">
        <v>1.5128858098094611E-3</v>
      </c>
      <c r="K165" s="14">
        <v>3.3081993589080261E-3</v>
      </c>
      <c r="L165" s="14">
        <v>3.68191031606524E-3</v>
      </c>
      <c r="M165" s="14">
        <v>1.59233220711405E-2</v>
      </c>
      <c r="N165" s="14">
        <v>1.4259078594078378E-2</v>
      </c>
      <c r="O165" s="14">
        <v>1.7354425395512296E-2</v>
      </c>
      <c r="P165" s="14">
        <v>4.5842408230792331E-3</v>
      </c>
      <c r="Q165" s="14">
        <v>5.641852626408872E-3</v>
      </c>
      <c r="R165" s="14">
        <v>1.5672777806500227E-3</v>
      </c>
      <c r="S165" s="14">
        <v>1.7223564005789949E-3</v>
      </c>
      <c r="T165" s="14">
        <v>0</v>
      </c>
      <c r="U165" s="14">
        <v>2.1694557525936409E-3</v>
      </c>
      <c r="V165" s="14">
        <v>1.007590191810559E-2</v>
      </c>
      <c r="W165" s="14">
        <v>6.4663331092958409E-3</v>
      </c>
      <c r="X165" s="14">
        <v>3.0045028112398176E-3</v>
      </c>
      <c r="Y165" s="14">
        <v>4.8075715972150102E-3</v>
      </c>
      <c r="Z165" s="14">
        <v>0</v>
      </c>
      <c r="AA165" s="14">
        <v>9.2313537896798747E-4</v>
      </c>
      <c r="AB165" s="14">
        <v>3.6467911281149457E-3</v>
      </c>
      <c r="AC165" s="14">
        <v>6.4248986596525115E-3</v>
      </c>
      <c r="AD165" s="14">
        <v>3.8621963150139438E-3</v>
      </c>
      <c r="AE165" s="14">
        <v>0</v>
      </c>
      <c r="AF165">
        <v>8.0406138713675634E-3</v>
      </c>
      <c r="AG165">
        <v>2.4557361872263872E-3</v>
      </c>
      <c r="AH165">
        <v>4.5151497195222712E-3</v>
      </c>
      <c r="AI165">
        <v>1.1577820890635304E-3</v>
      </c>
      <c r="AJ165">
        <v>1.3215359494023193E-4</v>
      </c>
      <c r="AK165">
        <v>6.8328586323368468E-4</v>
      </c>
      <c r="AL165">
        <v>3.0539342708446604E-4</v>
      </c>
      <c r="AM165">
        <v>3.668360243683888E-3</v>
      </c>
      <c r="AN165">
        <v>1.6223646813497972E-3</v>
      </c>
      <c r="AO165">
        <v>3.6213902388582131E-4</v>
      </c>
      <c r="AP165">
        <v>2.9345009909351738E-3</v>
      </c>
    </row>
    <row r="166" spans="1:42" x14ac:dyDescent="0.2">
      <c r="A166">
        <v>0.18803399999999998</v>
      </c>
      <c r="B166">
        <v>1.2300000000003974E-4</v>
      </c>
      <c r="C166" s="14">
        <v>0</v>
      </c>
      <c r="D166" s="14">
        <v>0</v>
      </c>
      <c r="E166" s="14">
        <v>0</v>
      </c>
      <c r="F166" s="14">
        <v>0</v>
      </c>
      <c r="G166" s="14">
        <v>1.1029166666666201E-3</v>
      </c>
      <c r="H166" s="14">
        <v>0</v>
      </c>
      <c r="I166" s="14">
        <v>0</v>
      </c>
      <c r="J166" s="14">
        <v>0</v>
      </c>
      <c r="K166" s="14">
        <v>1.4118499999999978E-2</v>
      </c>
      <c r="L166" s="14">
        <v>0</v>
      </c>
      <c r="M166" s="14">
        <v>5.3321250000000209E-3</v>
      </c>
      <c r="N166" s="14">
        <v>1.585429166666652E-2</v>
      </c>
      <c r="O166" s="14">
        <v>1.7499999999999738E-3</v>
      </c>
      <c r="P166" s="14">
        <v>0</v>
      </c>
      <c r="Q166" s="14">
        <v>0</v>
      </c>
      <c r="R166" s="14">
        <v>0</v>
      </c>
      <c r="S166" s="14">
        <v>0</v>
      </c>
      <c r="T166" s="14">
        <v>2.1221249999999747E-3</v>
      </c>
      <c r="U166" s="14">
        <v>0</v>
      </c>
      <c r="V166" s="14">
        <v>1.4952750000000181E-3</v>
      </c>
      <c r="W166" s="14">
        <v>2.2827500000000001E-3</v>
      </c>
      <c r="X166" s="14">
        <v>0</v>
      </c>
      <c r="Y166" s="14">
        <v>0</v>
      </c>
      <c r="Z166" s="14">
        <v>8.121204848388075E-5</v>
      </c>
      <c r="AA166" s="14">
        <v>2.7416249999999698E-3</v>
      </c>
      <c r="AB166" s="14">
        <v>0</v>
      </c>
      <c r="AC166" s="14">
        <v>0</v>
      </c>
      <c r="AD166" s="14">
        <v>1.1138437500000653E-3</v>
      </c>
      <c r="AE166" s="14">
        <v>1.1207499999999482E-3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">
      <c r="A167">
        <v>0.19286899999999998</v>
      </c>
      <c r="B167">
        <v>0</v>
      </c>
      <c r="C167" s="14">
        <v>0</v>
      </c>
      <c r="D167" s="14">
        <v>0</v>
      </c>
      <c r="E167" s="14">
        <v>0</v>
      </c>
      <c r="F167" s="14">
        <v>0</v>
      </c>
      <c r="G167" s="14">
        <v>0</v>
      </c>
      <c r="H167" s="14">
        <v>6.8399999999996242E-4</v>
      </c>
      <c r="I167" s="14">
        <v>4.0743749999999634E-3</v>
      </c>
      <c r="J167" s="14">
        <v>6.4524999999999721E-3</v>
      </c>
      <c r="K167" s="14">
        <v>1.6397500000000009E-2</v>
      </c>
      <c r="L167" s="14">
        <v>3.2948749999999194E-3</v>
      </c>
      <c r="M167" s="14">
        <v>0</v>
      </c>
      <c r="N167" s="14">
        <v>7.3872083333331728E-3</v>
      </c>
      <c r="O167" s="14">
        <v>0</v>
      </c>
      <c r="P167" s="14">
        <v>0</v>
      </c>
      <c r="Q167" s="14">
        <v>1.9547499999999496E-3</v>
      </c>
      <c r="R167" s="14">
        <v>4.5386249999999628E-3</v>
      </c>
      <c r="S167" s="14">
        <v>2.6255000000000028E-3</v>
      </c>
      <c r="T167" s="14">
        <v>6.1463749999999817E-3</v>
      </c>
      <c r="U167" s="14">
        <v>4.0602499999999875E-3</v>
      </c>
      <c r="V167" s="14">
        <v>0</v>
      </c>
      <c r="W167" s="14">
        <v>0</v>
      </c>
      <c r="X167" s="14">
        <v>0</v>
      </c>
      <c r="Y167" s="14">
        <v>0</v>
      </c>
      <c r="Z167" s="14">
        <v>1.5556361454517331E-3</v>
      </c>
      <c r="AA167" s="14">
        <v>0</v>
      </c>
      <c r="AB167" s="14">
        <v>0</v>
      </c>
      <c r="AC167" s="14">
        <v>0</v>
      </c>
      <c r="AD167" s="14">
        <v>0</v>
      </c>
      <c r="AE167" s="14">
        <v>9.5725000000002058E-4</v>
      </c>
      <c r="AF167">
        <v>0</v>
      </c>
      <c r="AG167">
        <v>5.7999999999946983E-5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3.4174999999997402E-4</v>
      </c>
      <c r="AP167">
        <v>0</v>
      </c>
    </row>
    <row r="168" spans="1:42" x14ac:dyDescent="0.2">
      <c r="A168">
        <v>0.19770399999999999</v>
      </c>
      <c r="B168">
        <v>0</v>
      </c>
      <c r="C168" s="14">
        <v>0</v>
      </c>
      <c r="D168" s="14">
        <v>1.5859999999999763E-3</v>
      </c>
      <c r="E168" s="14">
        <v>8.148250000000079E-3</v>
      </c>
      <c r="F168" s="14">
        <v>1.5858125000000056E-3</v>
      </c>
      <c r="G168" s="14">
        <v>1.9124999999997616E-4</v>
      </c>
      <c r="H168" s="14">
        <v>1.1639666666666604E-2</v>
      </c>
      <c r="I168" s="14">
        <v>1.4737958333333245E-2</v>
      </c>
      <c r="J168" s="14">
        <v>1.7317833333333366E-2</v>
      </c>
      <c r="K168" s="14">
        <v>8.1755000000000022E-3</v>
      </c>
      <c r="L168" s="14">
        <v>1.9455124999999907E-2</v>
      </c>
      <c r="M168" s="14">
        <v>8.6116666666669062E-4</v>
      </c>
      <c r="N168" s="14">
        <v>0</v>
      </c>
      <c r="O168" s="14">
        <v>2.2242499999999832E-3</v>
      </c>
      <c r="P168" s="14">
        <v>7.1365416666667181E-3</v>
      </c>
      <c r="Q168" s="14">
        <v>2.3492583333333261E-2</v>
      </c>
      <c r="R168" s="14">
        <v>1.4273708333333301E-2</v>
      </c>
      <c r="S168" s="14">
        <v>1.4400833333333307E-2</v>
      </c>
      <c r="T168" s="14">
        <v>1.0718624999999926E-2</v>
      </c>
      <c r="U168" s="14">
        <v>8.7727499999999403E-3</v>
      </c>
      <c r="V168" s="14">
        <v>2.297125000000011E-3</v>
      </c>
      <c r="W168" s="14">
        <v>5.2404166666664143E-4</v>
      </c>
      <c r="X168" s="14">
        <v>3.0759166666666782E-3</v>
      </c>
      <c r="Y168" s="14">
        <v>2.7070833333332489E-3</v>
      </c>
      <c r="Z168" s="14">
        <v>8.4306024241953548E-4</v>
      </c>
      <c r="AA168" s="14">
        <v>7.7249999999973173E-5</v>
      </c>
      <c r="AB168" s="14">
        <v>3.8281250000000711E-3</v>
      </c>
      <c r="AC168" s="14">
        <v>1.841249999999961E-3</v>
      </c>
      <c r="AD168" s="14">
        <v>1.1712083333332846E-3</v>
      </c>
      <c r="AE168" s="14">
        <v>0</v>
      </c>
      <c r="AF168">
        <v>7.6546249999996929E-3</v>
      </c>
      <c r="AG168">
        <v>1.5549999999999731E-3</v>
      </c>
      <c r="AH168">
        <v>2.1739166666666643E-3</v>
      </c>
      <c r="AI168">
        <v>2.4792083333333159E-3</v>
      </c>
      <c r="AJ168">
        <v>2.9175000000003504E-4</v>
      </c>
      <c r="AK168">
        <v>2.7333333333379173E-5</v>
      </c>
      <c r="AL168">
        <v>2.1874062500000235E-3</v>
      </c>
      <c r="AM168">
        <v>3.5364583333333255E-3</v>
      </c>
      <c r="AN168">
        <v>3.8414166666665972E-3</v>
      </c>
      <c r="AO168">
        <v>0</v>
      </c>
      <c r="AP168">
        <v>2.5839999999999197E-3</v>
      </c>
    </row>
    <row r="169" spans="1:42" x14ac:dyDescent="0.2">
      <c r="A169">
        <v>0.202539</v>
      </c>
      <c r="B169">
        <v>7.656249999999365E-4</v>
      </c>
      <c r="C169" s="14">
        <v>6.5649999999994879E-4</v>
      </c>
      <c r="D169" s="14">
        <v>0</v>
      </c>
      <c r="E169" s="14">
        <v>0</v>
      </c>
      <c r="F169" s="14">
        <v>7.6014374999999745E-3</v>
      </c>
      <c r="G169" s="14">
        <v>2.8241666666672938E-4</v>
      </c>
      <c r="H169" s="14">
        <v>1.3188333333333246E-2</v>
      </c>
      <c r="I169" s="14">
        <v>2.2558541666666598E-2</v>
      </c>
      <c r="J169" s="14">
        <v>2.643216666666659E-2</v>
      </c>
      <c r="K169" s="14">
        <v>1.485499999999973E-3</v>
      </c>
      <c r="L169" s="14">
        <v>2.5661374999999875E-2</v>
      </c>
      <c r="M169" s="14">
        <v>1.078749999999995E-2</v>
      </c>
      <c r="N169" s="14">
        <v>0</v>
      </c>
      <c r="O169" s="14">
        <v>1.5203749999999905E-2</v>
      </c>
      <c r="P169" s="14">
        <v>1.594095833333331E-2</v>
      </c>
      <c r="Q169" s="14">
        <v>2.7202416666666618E-2</v>
      </c>
      <c r="R169" s="14">
        <v>1.2741791666666613E-2</v>
      </c>
      <c r="S169" s="14">
        <v>1.4474166666666677E-2</v>
      </c>
      <c r="T169" s="14">
        <v>4.899874999999887E-3</v>
      </c>
      <c r="U169" s="14">
        <v>9.0002499999999319E-3</v>
      </c>
      <c r="V169" s="14">
        <v>7.9843749999999325E-3</v>
      </c>
      <c r="W169" s="14">
        <v>1.5012499999994544E-4</v>
      </c>
      <c r="X169" s="14">
        <v>6.0567499999999996E-3</v>
      </c>
      <c r="Y169" s="14">
        <v>6.6992499999999344E-3</v>
      </c>
      <c r="Z169" s="14">
        <v>6.7748433938730201E-4</v>
      </c>
      <c r="AA169" s="14">
        <v>3.2947500000000129E-3</v>
      </c>
      <c r="AB169" s="14">
        <v>7.7653749999999633E-3</v>
      </c>
      <c r="AC169" s="14">
        <v>1.5257749999999903E-2</v>
      </c>
      <c r="AD169" s="14">
        <v>2.3106250000000106E-3</v>
      </c>
      <c r="AE169" s="14">
        <v>9.0187499999999643E-4</v>
      </c>
      <c r="AF169">
        <v>9.9318749999997014E-3</v>
      </c>
      <c r="AG169">
        <v>4.5839999999999215E-3</v>
      </c>
      <c r="AH169">
        <v>9.3647499999999773E-3</v>
      </c>
      <c r="AI169">
        <v>3.1716250000000112E-3</v>
      </c>
      <c r="AJ169">
        <v>1.9682500000000047E-3</v>
      </c>
      <c r="AK169">
        <v>2.1600000000000508E-3</v>
      </c>
      <c r="AL169">
        <v>1.6409687500000825E-3</v>
      </c>
      <c r="AM169">
        <v>4.4843749999999849E-3</v>
      </c>
      <c r="AN169">
        <v>6.3842499999999802E-3</v>
      </c>
      <c r="AO169">
        <v>3.234166666666316E-4</v>
      </c>
      <c r="AP169">
        <v>5.5639999999999024E-3</v>
      </c>
    </row>
    <row r="170" spans="1:42" x14ac:dyDescent="0.2">
      <c r="A170">
        <v>0.207374</v>
      </c>
      <c r="B170">
        <v>5.466351204632125E-4</v>
      </c>
      <c r="C170" s="14">
        <v>0</v>
      </c>
      <c r="D170" s="14">
        <v>2.2425598180125794E-3</v>
      </c>
      <c r="E170" s="14">
        <v>2.2974517888533219E-3</v>
      </c>
      <c r="F170" s="14">
        <v>8.3675205382069962E-3</v>
      </c>
      <c r="G170" s="14">
        <v>0</v>
      </c>
      <c r="H170" s="14">
        <v>7.0824740633508299E-3</v>
      </c>
      <c r="I170" s="14">
        <v>1.462950104263594E-2</v>
      </c>
      <c r="J170" s="14">
        <v>2.0671876986178561E-2</v>
      </c>
      <c r="K170" s="14">
        <v>0</v>
      </c>
      <c r="L170" s="14">
        <v>1.7431993976837812E-2</v>
      </c>
      <c r="M170" s="14">
        <v>1.6010157067521513E-2</v>
      </c>
      <c r="N170" s="14">
        <v>2.2288746251679648E-3</v>
      </c>
      <c r="O170" s="14">
        <v>2.2276585513390457E-2</v>
      </c>
      <c r="P170" s="14">
        <v>1.6433722770826886E-2</v>
      </c>
      <c r="Q170" s="14">
        <v>2.2599584100230885E-2</v>
      </c>
      <c r="R170" s="14">
        <v>8.4772199445075636E-3</v>
      </c>
      <c r="S170" s="14">
        <v>1.3890835522007372E-2</v>
      </c>
      <c r="T170" s="14">
        <v>0</v>
      </c>
      <c r="U170" s="14">
        <v>7.5880605418260361E-3</v>
      </c>
      <c r="V170" s="14">
        <v>1.6077969935890724E-2</v>
      </c>
      <c r="W170" s="14">
        <v>4.6985330110639878E-3</v>
      </c>
      <c r="X170" s="14">
        <v>4.2248759693929716E-3</v>
      </c>
      <c r="Y170" s="14">
        <v>5.7697078895666554E-3</v>
      </c>
      <c r="Z170" s="14">
        <v>2.7001714702394874E-3</v>
      </c>
      <c r="AA170" s="14">
        <v>4.8715190776548178E-3</v>
      </c>
      <c r="AB170" s="14">
        <v>1.3781862501292541E-2</v>
      </c>
      <c r="AC170" s="14">
        <v>1.2815540275048998E-2</v>
      </c>
      <c r="AD170" s="14">
        <v>2.0282994261192622E-3</v>
      </c>
      <c r="AE170" s="14">
        <v>0</v>
      </c>
      <c r="AF170">
        <v>1.2318386128631786E-2</v>
      </c>
      <c r="AG170">
        <v>6.0812109916243418E-3</v>
      </c>
      <c r="AH170">
        <v>1.3712793971667914E-2</v>
      </c>
      <c r="AI170">
        <v>3.6462659755971405E-3</v>
      </c>
      <c r="AJ170">
        <v>8.0192906628062666E-4</v>
      </c>
      <c r="AK170">
        <v>3.3089069899699952E-3</v>
      </c>
      <c r="AL170">
        <v>2.9537348193051649E-3</v>
      </c>
      <c r="AM170">
        <v>7.0735140885119785E-3</v>
      </c>
      <c r="AN170">
        <v>7.6153307310514728E-3</v>
      </c>
      <c r="AO170">
        <v>0</v>
      </c>
      <c r="AP170">
        <v>5.4822304311860082E-3</v>
      </c>
    </row>
    <row r="171" spans="1:42" x14ac:dyDescent="0.2">
      <c r="A171">
        <v>0.21220999999999998</v>
      </c>
      <c r="B171">
        <v>1.4218648795367161E-3</v>
      </c>
      <c r="C171" s="14">
        <v>1.0116138455175117E-3</v>
      </c>
      <c r="D171" s="14">
        <v>1.038440181987399E-3</v>
      </c>
      <c r="E171" s="14">
        <v>0</v>
      </c>
      <c r="F171" s="14">
        <v>3.0072294617931039E-3</v>
      </c>
      <c r="G171" s="14">
        <v>5.0031302088718865E-3</v>
      </c>
      <c r="H171" s="14">
        <v>0</v>
      </c>
      <c r="I171" s="14">
        <v>2.1053322906972038E-3</v>
      </c>
      <c r="J171" s="14">
        <v>3.3174563471547458E-3</v>
      </c>
      <c r="K171" s="14">
        <v>6.5889348654051272E-3</v>
      </c>
      <c r="L171" s="14">
        <v>3.2945060231619472E-3</v>
      </c>
      <c r="M171" s="14">
        <v>1.6856842932478466E-2</v>
      </c>
      <c r="N171" s="14">
        <v>1.4560125374831867E-2</v>
      </c>
      <c r="O171" s="14">
        <v>2.0380414486609377E-2</v>
      </c>
      <c r="P171" s="14">
        <v>4.6754438958398481E-3</v>
      </c>
      <c r="Q171" s="14">
        <v>3.7777492331023677E-3</v>
      </c>
      <c r="R171" s="14">
        <v>1.2576133888256846E-3</v>
      </c>
      <c r="S171" s="14">
        <v>2.1504978113260353E-3</v>
      </c>
      <c r="T171" s="14">
        <v>2.1210289266880844E-3</v>
      </c>
      <c r="U171" s="14">
        <v>4.9939458173886564E-5</v>
      </c>
      <c r="V171" s="14">
        <v>1.520253006410921E-2</v>
      </c>
      <c r="W171" s="14">
        <v>8.2619669889359426E-3</v>
      </c>
      <c r="X171" s="14">
        <v>2.5011240306069271E-3</v>
      </c>
      <c r="Y171" s="14">
        <v>3.7462921104332025E-3</v>
      </c>
      <c r="Z171" s="14">
        <v>3.5180695047104527E-3</v>
      </c>
      <c r="AA171" s="14">
        <v>6.3384809223451244E-3</v>
      </c>
      <c r="AB171" s="14">
        <v>6.3436374987074773E-3</v>
      </c>
      <c r="AC171" s="14">
        <v>9.4974597249508075E-3</v>
      </c>
      <c r="AD171" s="14">
        <v>6.0112005738806595E-3</v>
      </c>
      <c r="AE171" s="14">
        <v>3.1261045134939325E-3</v>
      </c>
      <c r="AF171">
        <v>1.4486113871367889E-2</v>
      </c>
      <c r="AG171">
        <v>4.5147890083754305E-3</v>
      </c>
      <c r="AH171">
        <v>9.638206028332208E-3</v>
      </c>
      <c r="AI171">
        <v>3.3542340244028246E-3</v>
      </c>
      <c r="AJ171">
        <v>6.1980709337193796E-3</v>
      </c>
      <c r="AK171">
        <v>2.2690930100299767E-3</v>
      </c>
      <c r="AL171">
        <v>4.8128901806949731E-3</v>
      </c>
      <c r="AM171">
        <v>4.3019859114879488E-3</v>
      </c>
      <c r="AN171">
        <v>1.1032669268948303E-2</v>
      </c>
      <c r="AO171">
        <v>5.2393866542582712E-4</v>
      </c>
      <c r="AP171">
        <v>8.134769568813871E-3</v>
      </c>
    </row>
    <row r="172" spans="1:42" x14ac:dyDescent="0.2">
      <c r="A172">
        <v>0.21704499999999999</v>
      </c>
      <c r="B172">
        <v>1.8588749999999266E-3</v>
      </c>
      <c r="C172" s="14">
        <v>4.0197499999998776E-3</v>
      </c>
      <c r="D172" s="14">
        <v>0</v>
      </c>
      <c r="E172" s="14">
        <v>2.1837499999999288E-4</v>
      </c>
      <c r="F172" s="14">
        <v>0</v>
      </c>
      <c r="G172" s="14">
        <v>7.0273749999999469E-3</v>
      </c>
      <c r="H172" s="14">
        <v>2.0958333333320756E-4</v>
      </c>
      <c r="I172" s="14">
        <v>0</v>
      </c>
      <c r="J172" s="14">
        <v>0</v>
      </c>
      <c r="K172" s="14">
        <v>1.513929166666661E-2</v>
      </c>
      <c r="L172" s="14">
        <v>0</v>
      </c>
      <c r="M172" s="14">
        <v>7.7515000000000223E-3</v>
      </c>
      <c r="N172" s="14">
        <v>1.9345499999999904E-2</v>
      </c>
      <c r="O172" s="14">
        <v>5.1412499999998751E-3</v>
      </c>
      <c r="P172" s="14">
        <v>0</v>
      </c>
      <c r="Q172" s="14">
        <v>0</v>
      </c>
      <c r="R172" s="14">
        <v>0</v>
      </c>
      <c r="S172" s="14">
        <v>0</v>
      </c>
      <c r="T172" s="14">
        <v>9.3186250000000248E-3</v>
      </c>
      <c r="U172" s="14">
        <v>0</v>
      </c>
      <c r="V172" s="14">
        <v>5.9061249999998733E-3</v>
      </c>
      <c r="W172" s="14">
        <v>7.9983749999999465E-3</v>
      </c>
      <c r="X172" s="14">
        <v>0</v>
      </c>
      <c r="Y172" s="14">
        <v>0</v>
      </c>
      <c r="Z172" s="14">
        <v>5.9777566388456993E-3</v>
      </c>
      <c r="AA172" s="14">
        <v>5.2912499999999696E-3</v>
      </c>
      <c r="AB172" s="14">
        <v>7.7661249999999571E-3</v>
      </c>
      <c r="AC172" s="14">
        <v>2.5702499999999406E-3</v>
      </c>
      <c r="AD172" s="14">
        <v>6.4938749999999823E-3</v>
      </c>
      <c r="AE172" s="14">
        <v>3.4726249999999514E-3</v>
      </c>
      <c r="AF172">
        <v>8.1236249999999677E-3</v>
      </c>
      <c r="AG172">
        <v>3.2779999999998921E-3</v>
      </c>
      <c r="AH172">
        <v>6.3302500000000372E-3</v>
      </c>
      <c r="AI172">
        <v>1.8588749999999266E-3</v>
      </c>
      <c r="AJ172">
        <v>1.6407500000000241E-3</v>
      </c>
      <c r="AK172">
        <v>0</v>
      </c>
      <c r="AL172">
        <v>4.484656250000052E-3</v>
      </c>
      <c r="AM172">
        <v>1.6411249999999655E-3</v>
      </c>
      <c r="AN172">
        <v>8.8727499999998738E-3</v>
      </c>
      <c r="AO172">
        <v>0</v>
      </c>
      <c r="AP172">
        <v>3.8960000000000106E-3</v>
      </c>
    </row>
    <row r="173" spans="1:42" x14ac:dyDescent="0.2">
      <c r="A173">
        <v>0.22187999999999999</v>
      </c>
      <c r="B173">
        <v>0</v>
      </c>
      <c r="C173" s="14">
        <v>2.7249999999923169E-5</v>
      </c>
      <c r="D173" s="14">
        <v>0</v>
      </c>
      <c r="E173" s="14">
        <v>0</v>
      </c>
      <c r="F173" s="14">
        <v>0</v>
      </c>
      <c r="G173" s="14">
        <v>1.8321249999999623E-3</v>
      </c>
      <c r="H173" s="14">
        <v>0</v>
      </c>
      <c r="I173" s="14">
        <v>6.2341249999998682E-3</v>
      </c>
      <c r="J173" s="14">
        <v>4.4836249999999911E-3</v>
      </c>
      <c r="K173" s="14">
        <v>1.6251208333333267E-2</v>
      </c>
      <c r="L173" s="14">
        <v>2.0508750000000076E-3</v>
      </c>
      <c r="M173" s="14">
        <v>0</v>
      </c>
      <c r="N173" s="14">
        <v>7.6154999999998862E-3</v>
      </c>
      <c r="O173" s="14">
        <v>0</v>
      </c>
      <c r="P173" s="14">
        <v>0</v>
      </c>
      <c r="Q173" s="14">
        <v>3.664374999999942E-3</v>
      </c>
      <c r="R173" s="14">
        <v>2.5697499999999263E-3</v>
      </c>
      <c r="S173" s="14">
        <v>9.0237500000001081E-4</v>
      </c>
      <c r="T173" s="14">
        <v>6.8898749999999342E-3</v>
      </c>
      <c r="U173" s="14">
        <v>2.1302499999999447E-3</v>
      </c>
      <c r="V173" s="14">
        <v>0</v>
      </c>
      <c r="W173" s="14">
        <v>7.3345833333327004E-4</v>
      </c>
      <c r="X173" s="14">
        <v>0</v>
      </c>
      <c r="Y173" s="14">
        <v>0</v>
      </c>
      <c r="Z173" s="14">
        <v>5.1551807423795282E-3</v>
      </c>
      <c r="AA173" s="14">
        <v>1.2897500000000894E-3</v>
      </c>
      <c r="AB173" s="14">
        <v>0</v>
      </c>
      <c r="AC173" s="14">
        <v>0</v>
      </c>
      <c r="AD173" s="14">
        <v>1.1802916666666663E-3</v>
      </c>
      <c r="AE173" s="14">
        <v>1.1938749999999554E-3</v>
      </c>
      <c r="AF173">
        <v>3.3787499999993198E-4</v>
      </c>
      <c r="AG173">
        <v>0</v>
      </c>
      <c r="AH173">
        <v>3.9608333333335244E-4</v>
      </c>
      <c r="AI173">
        <v>8.0229166666667684E-4</v>
      </c>
      <c r="AJ173">
        <v>1.4625000000001442E-4</v>
      </c>
      <c r="AK173">
        <v>0</v>
      </c>
      <c r="AL173">
        <v>0</v>
      </c>
      <c r="AM173">
        <v>1.0570416666666471E-3</v>
      </c>
      <c r="AN173">
        <v>0</v>
      </c>
      <c r="AO173">
        <v>4.1062499999966473E-5</v>
      </c>
      <c r="AP173">
        <v>1.1889999999999956E-3</v>
      </c>
    </row>
    <row r="174" spans="1:42" x14ac:dyDescent="0.2">
      <c r="A174">
        <v>0.226715</v>
      </c>
      <c r="B174">
        <v>0</v>
      </c>
      <c r="C174" s="14">
        <v>0</v>
      </c>
      <c r="D174" s="14">
        <v>0</v>
      </c>
      <c r="E174" s="14">
        <v>0</v>
      </c>
      <c r="F174" s="14">
        <v>1.9959999999998868E-3</v>
      </c>
      <c r="G174" s="14">
        <v>0</v>
      </c>
      <c r="H174" s="14">
        <v>4.7669166666665097E-3</v>
      </c>
      <c r="I174" s="14">
        <v>1.3963541666666579E-2</v>
      </c>
      <c r="J174" s="14">
        <v>1.513004166666676E-2</v>
      </c>
      <c r="K174" s="14">
        <v>5.7691249999999306E-3</v>
      </c>
      <c r="L174" s="14">
        <v>1.4901791666666719E-2</v>
      </c>
      <c r="M174" s="14">
        <v>8.3424999999992533E-4</v>
      </c>
      <c r="N174" s="14">
        <v>0</v>
      </c>
      <c r="O174" s="14">
        <v>1.531249999999873E-3</v>
      </c>
      <c r="P174" s="14">
        <v>5.1404375000000391E-3</v>
      </c>
      <c r="Q174" s="14">
        <v>1.777329166666658E-2</v>
      </c>
      <c r="R174" s="14">
        <v>7.3829166666665724E-3</v>
      </c>
      <c r="S174" s="14">
        <v>8.721958333333335E-3</v>
      </c>
      <c r="T174" s="14">
        <v>0</v>
      </c>
      <c r="U174" s="14">
        <v>4.825749999999851E-3</v>
      </c>
      <c r="V174" s="14">
        <v>1.5585416666666907E-3</v>
      </c>
      <c r="W174" s="14">
        <v>0</v>
      </c>
      <c r="X174" s="14">
        <v>1.289583333333344E-3</v>
      </c>
      <c r="Y174" s="14">
        <v>6.6975000000002449E-4</v>
      </c>
      <c r="Z174" s="14">
        <v>5.0560484850770138E-4</v>
      </c>
      <c r="AA174" s="14">
        <v>0</v>
      </c>
      <c r="AB174" s="14">
        <v>2.2376666666665823E-3</v>
      </c>
      <c r="AC174" s="14">
        <v>1.4809166666666651E-3</v>
      </c>
      <c r="AD174" s="14">
        <v>0</v>
      </c>
      <c r="AE174" s="1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5.1949999999989505E-4</v>
      </c>
      <c r="AO174">
        <v>1.5994374999999672E-3</v>
      </c>
      <c r="AP174">
        <v>0</v>
      </c>
    </row>
    <row r="175" spans="1:42" x14ac:dyDescent="0.2">
      <c r="A175">
        <v>0.23154999999999998</v>
      </c>
      <c r="B175">
        <v>1.0388749999999947E-3</v>
      </c>
      <c r="C175" s="14">
        <v>0</v>
      </c>
      <c r="D175" s="14">
        <v>1.421375000000058E-3</v>
      </c>
      <c r="E175" s="14">
        <v>0</v>
      </c>
      <c r="F175" s="14">
        <v>5.3320000000000034E-3</v>
      </c>
      <c r="G175" s="14">
        <v>0</v>
      </c>
      <c r="H175" s="14">
        <v>5.8420833333333588E-3</v>
      </c>
      <c r="I175" s="14">
        <v>1.7535958333333213E-2</v>
      </c>
      <c r="J175" s="14">
        <v>2.4463458333333299E-2</v>
      </c>
      <c r="K175" s="14">
        <v>3.190416666666307E-4</v>
      </c>
      <c r="L175" s="14">
        <v>1.9222708333333394E-2</v>
      </c>
      <c r="M175" s="14">
        <v>9.3927499999999498E-3</v>
      </c>
      <c r="N175" s="14">
        <v>0</v>
      </c>
      <c r="O175" s="14">
        <v>1.7062750000000015E-2</v>
      </c>
      <c r="P175" s="14">
        <v>1.0172312499999947E-2</v>
      </c>
      <c r="Q175" s="14">
        <v>2.1164208333333379E-2</v>
      </c>
      <c r="R175" s="14">
        <v>7.1640833333332932E-3</v>
      </c>
      <c r="S175" s="14">
        <v>8.9955416666668286E-3</v>
      </c>
      <c r="T175" s="14">
        <v>0</v>
      </c>
      <c r="U175" s="14">
        <v>4.2412499999998632E-3</v>
      </c>
      <c r="V175" s="14">
        <v>7.410625000000004E-3</v>
      </c>
      <c r="W175" s="14">
        <v>1.6815000000000024E-3</v>
      </c>
      <c r="X175" s="14">
        <v>2.8847499999999915E-3</v>
      </c>
      <c r="Y175" s="14">
        <v>5.2912499999999696E-3</v>
      </c>
      <c r="Z175" s="14">
        <v>3.4020289572300744E-3</v>
      </c>
      <c r="AA175" s="14">
        <v>0</v>
      </c>
      <c r="AB175" s="14">
        <v>1.0104000000000002E-2</v>
      </c>
      <c r="AC175" s="14">
        <v>9.255750000000007E-3</v>
      </c>
      <c r="AD175" s="14">
        <v>3.3697187499999171E-3</v>
      </c>
      <c r="AE175" s="14">
        <v>0</v>
      </c>
      <c r="AF175">
        <v>6.8981249999997551E-3</v>
      </c>
      <c r="AG175">
        <v>4.1117812500000017E-3</v>
      </c>
      <c r="AH175">
        <v>4.6005312500000395E-3</v>
      </c>
      <c r="AI175">
        <v>3.7318749999999401E-3</v>
      </c>
      <c r="AJ175">
        <v>9.4312499999998911E-4</v>
      </c>
      <c r="AK175">
        <v>2.9873124999999501E-3</v>
      </c>
      <c r="AL175">
        <v>2.1978437499999837E-3</v>
      </c>
      <c r="AM175">
        <v>1.948593750000005E-3</v>
      </c>
      <c r="AN175">
        <v>7.464499999999985E-3</v>
      </c>
      <c r="AO175">
        <v>0</v>
      </c>
      <c r="AP175">
        <v>4.6380312500000631E-3</v>
      </c>
    </row>
    <row r="176" spans="1:42" x14ac:dyDescent="0.2">
      <c r="A176">
        <v>0.23638499999999998</v>
      </c>
      <c r="B176">
        <v>2.5339566034158767E-3</v>
      </c>
      <c r="C176" s="14">
        <v>0</v>
      </c>
      <c r="D176" s="14">
        <v>7.6612830256972408E-4</v>
      </c>
      <c r="E176" s="14">
        <v>1.7506678817020838E-3</v>
      </c>
      <c r="F176" s="14">
        <v>8.4493435448012022E-3</v>
      </c>
      <c r="G176" s="14">
        <v>0</v>
      </c>
      <c r="H176" s="14">
        <v>0</v>
      </c>
      <c r="I176" s="14">
        <v>7.9846106285439422E-3</v>
      </c>
      <c r="J176" s="14">
        <v>1.8484108741361194E-2</v>
      </c>
      <c r="K176" s="14">
        <v>0</v>
      </c>
      <c r="L176" s="14">
        <v>1.2495841304310362E-2</v>
      </c>
      <c r="M176" s="14">
        <v>1.8607489633421181E-2</v>
      </c>
      <c r="N176" s="14">
        <v>5.40061604880826E-3</v>
      </c>
      <c r="O176" s="14">
        <v>2.0781487513572117E-2</v>
      </c>
      <c r="P176" s="14">
        <v>9.0784080450855287E-3</v>
      </c>
      <c r="Q176" s="14">
        <v>1.3508337064612297E-2</v>
      </c>
      <c r="R176" s="14">
        <v>3.8824450993571458E-3</v>
      </c>
      <c r="S176" s="14">
        <v>6.6443356513797847E-3</v>
      </c>
      <c r="T176" s="14">
        <v>1.6954281319476738E-3</v>
      </c>
      <c r="U176" s="14">
        <v>3.1089489168086848E-3</v>
      </c>
      <c r="V176" s="14">
        <v>1.2605930294883105E-2</v>
      </c>
      <c r="W176" s="14">
        <v>7.3233770832256129E-3</v>
      </c>
      <c r="X176" s="14">
        <v>4.8081016321114278E-3</v>
      </c>
      <c r="Y176" s="14">
        <v>1.3809443927408349E-3</v>
      </c>
      <c r="Z176" s="14">
        <v>9.7985845922351489E-3</v>
      </c>
      <c r="AA176" s="14">
        <v>6.808972105889044E-3</v>
      </c>
      <c r="AB176" s="14">
        <v>8.7825569429363926E-3</v>
      </c>
      <c r="AC176" s="14">
        <v>9.4837810264895017E-3</v>
      </c>
      <c r="AD176" s="14">
        <v>4.3407238767384504E-3</v>
      </c>
      <c r="AE176" s="14">
        <v>3.1538429157402792E-3</v>
      </c>
      <c r="AF176">
        <v>1.3793400487737251E-2</v>
      </c>
      <c r="AG176">
        <v>5.8691467090634664E-3</v>
      </c>
      <c r="AH176">
        <v>1.131340147872395E-2</v>
      </c>
      <c r="AI176">
        <v>3.6686154973027962E-3</v>
      </c>
      <c r="AJ176">
        <v>3.4313645537114579E-3</v>
      </c>
      <c r="AK176">
        <v>4.9423575047824464E-3</v>
      </c>
      <c r="AL176">
        <v>1.7675813815211106E-3</v>
      </c>
      <c r="AM176">
        <v>3.2468319114833388E-3</v>
      </c>
      <c r="AN176">
        <v>8.284707822759918E-3</v>
      </c>
      <c r="AO176">
        <v>8.9753424504074308E-4</v>
      </c>
      <c r="AP176">
        <v>5.2879111990071781E-3</v>
      </c>
    </row>
    <row r="177" spans="1:42" x14ac:dyDescent="0.2">
      <c r="A177">
        <v>0.24121999999999999</v>
      </c>
      <c r="B177">
        <v>8.5720314358095351E-4</v>
      </c>
      <c r="C177" s="14">
        <v>0</v>
      </c>
      <c r="D177" s="14">
        <v>0</v>
      </c>
      <c r="E177" s="14">
        <v>0</v>
      </c>
      <c r="F177" s="14">
        <v>2.3800306344036182E-3</v>
      </c>
      <c r="G177" s="14">
        <v>2.9538182100200538E-3</v>
      </c>
      <c r="H177" s="14">
        <v>0</v>
      </c>
      <c r="I177" s="14">
        <v>6.2049855229817652E-4</v>
      </c>
      <c r="J177" s="14">
        <v>2.0059928907502078E-3</v>
      </c>
      <c r="K177" s="14">
        <v>7.1374888061630504E-3</v>
      </c>
      <c r="L177" s="14">
        <v>1.0671905795976988E-3</v>
      </c>
      <c r="M177" s="14">
        <v>1.9619468900263559E-2</v>
      </c>
      <c r="N177" s="14">
        <v>1.7185848146424654E-2</v>
      </c>
      <c r="O177" s="14">
        <v>1.9032462540716555E-2</v>
      </c>
      <c r="P177" s="14">
        <v>1.8597241352565907E-3</v>
      </c>
      <c r="Q177" s="14">
        <v>1.3676778605036244E-3</v>
      </c>
      <c r="R177" s="14">
        <v>0</v>
      </c>
      <c r="S177" s="14">
        <v>0</v>
      </c>
      <c r="T177" s="14">
        <v>1.0008284395843003E-2</v>
      </c>
      <c r="U177" s="14">
        <v>1.9778467504264485E-3</v>
      </c>
      <c r="V177" s="14">
        <v>1.1895457551315936E-2</v>
      </c>
      <c r="W177" s="14">
        <v>1.0559464583010159E-2</v>
      </c>
      <c r="X177" s="14">
        <v>1.2626382296675454E-3</v>
      </c>
      <c r="Y177" s="14">
        <v>4.3618331782224185E-3</v>
      </c>
      <c r="Z177" s="14">
        <v>1.8930271753523131E-2</v>
      </c>
      <c r="AA177" s="14">
        <v>4.7856663176670811E-3</v>
      </c>
      <c r="AB177" s="14">
        <v>8.0083374954759146E-3</v>
      </c>
      <c r="AC177" s="14">
        <v>5.4460097461351831E-3</v>
      </c>
      <c r="AD177" s="14">
        <v>4.3279216302154477E-3</v>
      </c>
      <c r="AE177" s="14">
        <v>4.6485287472209924E-3</v>
      </c>
      <c r="AF177">
        <v>1.7406868129879016E-2</v>
      </c>
      <c r="AG177">
        <v>6.6416901271908468E-3</v>
      </c>
      <c r="AH177">
        <v>1.2339454436171793E-2</v>
      </c>
      <c r="AI177">
        <v>3.1675131585749972E-3</v>
      </c>
      <c r="AJ177">
        <v>1.4357603278010722E-3</v>
      </c>
      <c r="AK177">
        <v>2.0855725143477111E-3</v>
      </c>
      <c r="AL177">
        <v>4.2904941445632838E-3</v>
      </c>
      <c r="AM177">
        <v>6.4062457344500334E-3</v>
      </c>
      <c r="AN177">
        <v>8.1211234682797562E-3</v>
      </c>
      <c r="AO177">
        <v>7.2460273512220397E-4</v>
      </c>
      <c r="AP177">
        <v>8.8909835970217843E-3</v>
      </c>
    </row>
    <row r="178" spans="1:42" x14ac:dyDescent="0.2">
      <c r="A178">
        <v>0.246056</v>
      </c>
      <c r="B178">
        <v>1.6413018975230953E-4</v>
      </c>
      <c r="C178" s="14">
        <v>0</v>
      </c>
      <c r="D178" s="14">
        <v>0</v>
      </c>
      <c r="E178" s="14">
        <v>0</v>
      </c>
      <c r="F178" s="14">
        <v>0</v>
      </c>
      <c r="G178" s="14">
        <v>1.1191181789979798E-2</v>
      </c>
      <c r="H178" s="14">
        <v>1.4341565069023732E-3</v>
      </c>
      <c r="I178" s="14">
        <v>0</v>
      </c>
      <c r="J178" s="14">
        <v>0</v>
      </c>
      <c r="K178" s="14">
        <v>1.6340844527170217E-2</v>
      </c>
      <c r="L178" s="14">
        <v>0</v>
      </c>
      <c r="M178" s="14">
        <v>7.8335310997362795E-3</v>
      </c>
      <c r="N178" s="14">
        <v>2.2189151853575284E-2</v>
      </c>
      <c r="O178" s="14">
        <v>5.4685374592833291E-3</v>
      </c>
      <c r="P178" s="14">
        <v>0</v>
      </c>
      <c r="Q178" s="14">
        <v>0</v>
      </c>
      <c r="R178" s="14">
        <v>1.1930607517708358E-3</v>
      </c>
      <c r="S178" s="14">
        <v>0</v>
      </c>
      <c r="T178" s="14">
        <v>1.8975715604156895E-2</v>
      </c>
      <c r="U178" s="14">
        <v>4.0715324957318888E-4</v>
      </c>
      <c r="V178" s="14">
        <v>6.8082091153508495E-3</v>
      </c>
      <c r="W178" s="14">
        <v>7.1218687503231681E-3</v>
      </c>
      <c r="X178" s="14">
        <v>3.4169510366577338E-4</v>
      </c>
      <c r="Y178" s="14">
        <v>0</v>
      </c>
      <c r="Z178" s="14">
        <v>1.8982906733926885E-2</v>
      </c>
      <c r="AA178" s="14">
        <v>5.1678336823328674E-3</v>
      </c>
      <c r="AB178" s="14">
        <v>8.8723291711906294E-3</v>
      </c>
      <c r="AC178" s="14">
        <v>7.0946569205314614E-3</v>
      </c>
      <c r="AD178" s="14">
        <v>2.2345783697842458E-3</v>
      </c>
      <c r="AE178" s="14">
        <v>7.4548045861123624E-3</v>
      </c>
      <c r="AF178">
        <v>1.6207798536786444E-2</v>
      </c>
      <c r="AG178">
        <v>4.0228098728090078E-3</v>
      </c>
      <c r="AH178">
        <v>1.1067045563828093E-2</v>
      </c>
      <c r="AI178">
        <v>4.5251535080915728E-3</v>
      </c>
      <c r="AJ178">
        <v>1.5169063388656423E-3</v>
      </c>
      <c r="AK178">
        <v>3.9304274856520882E-3</v>
      </c>
      <c r="AL178">
        <v>3.0930058554367035E-3</v>
      </c>
      <c r="AM178">
        <v>4.6412542655498434E-3</v>
      </c>
      <c r="AN178">
        <v>9.1588765317200949E-3</v>
      </c>
      <c r="AO178">
        <v>2.8477305982109735E-3</v>
      </c>
      <c r="AP178">
        <v>7.4605164029779569E-3</v>
      </c>
    </row>
    <row r="179" spans="1:42" x14ac:dyDescent="0.2">
      <c r="A179">
        <v>0.25089099999999998</v>
      </c>
      <c r="B179">
        <v>1.0023767299174313E-3</v>
      </c>
      <c r="C179" s="14">
        <v>0</v>
      </c>
      <c r="D179" s="14">
        <v>1.1045809377316029E-2</v>
      </c>
      <c r="E179" s="14">
        <v>0</v>
      </c>
      <c r="F179" s="14">
        <v>0</v>
      </c>
      <c r="G179" s="14">
        <v>6.7447272633266442E-3</v>
      </c>
      <c r="H179" s="14">
        <v>8.4622188356341388E-3</v>
      </c>
      <c r="I179" s="14">
        <v>1.0062156929148691E-2</v>
      </c>
      <c r="J179" s="14">
        <v>4.4835394671078888E-3</v>
      </c>
      <c r="K179" s="14">
        <v>2.0078503731278952E-2</v>
      </c>
      <c r="L179" s="14">
        <v>9.0776101545938515E-3</v>
      </c>
      <c r="M179" s="14">
        <v>0</v>
      </c>
      <c r="N179" s="14">
        <v>9.5833839511918484E-3</v>
      </c>
      <c r="O179" s="14">
        <v>0</v>
      </c>
      <c r="P179" s="14">
        <v>0</v>
      </c>
      <c r="Q179" s="14">
        <v>7.3963735846130918E-3</v>
      </c>
      <c r="R179" s="14">
        <v>7.3001313617013786E-3</v>
      </c>
      <c r="S179" s="14">
        <v>2.5152530634403591E-3</v>
      </c>
      <c r="T179" s="14">
        <v>2.028857186805233E-2</v>
      </c>
      <c r="U179" s="14">
        <v>5.7280510831909659E-3</v>
      </c>
      <c r="V179" s="14">
        <v>1.1757363717835867E-3</v>
      </c>
      <c r="W179" s="14">
        <v>1.7179562501077328E-3</v>
      </c>
      <c r="X179" s="14">
        <v>7.7231701221924798E-5</v>
      </c>
      <c r="Y179" s="14">
        <v>0</v>
      </c>
      <c r="Z179" s="14">
        <v>2.0348593902767886E-2</v>
      </c>
      <c r="AA179" s="14">
        <v>5.5505278941109237E-3</v>
      </c>
      <c r="AB179" s="14">
        <v>0</v>
      </c>
      <c r="AC179" s="14">
        <v>4.3288564017718301E-4</v>
      </c>
      <c r="AD179" s="14">
        <v>1.8927761232613305E-3</v>
      </c>
      <c r="AE179" s="14">
        <v>5.9974904175930099E-3</v>
      </c>
      <c r="AF179">
        <v>1.096226617892837E-2</v>
      </c>
      <c r="AG179">
        <v>2.2793532909363146E-3</v>
      </c>
      <c r="AH179">
        <v>5.6390985212759759E-3</v>
      </c>
      <c r="AI179">
        <v>0</v>
      </c>
      <c r="AJ179">
        <v>0</v>
      </c>
      <c r="AK179">
        <v>8.8642495217339246E-5</v>
      </c>
      <c r="AL179">
        <v>5.839186184788403E-4</v>
      </c>
      <c r="AM179">
        <v>1.455668088516604E-3</v>
      </c>
      <c r="AN179">
        <v>5.9332921772400349E-3</v>
      </c>
      <c r="AO179">
        <v>5.9679908829252115E-4</v>
      </c>
      <c r="AP179">
        <v>4.2825888009926372E-3</v>
      </c>
    </row>
    <row r="180" spans="1:42" x14ac:dyDescent="0.2">
      <c r="A180">
        <v>0.25572600000000001</v>
      </c>
      <c r="B180">
        <v>0</v>
      </c>
      <c r="C180" s="14">
        <v>8.159449999999846E-3</v>
      </c>
      <c r="D180" s="14">
        <v>2.0055833333333384E-3</v>
      </c>
      <c r="E180" s="14">
        <v>0</v>
      </c>
      <c r="F180" s="14">
        <v>0</v>
      </c>
      <c r="G180" s="14">
        <v>0</v>
      </c>
      <c r="H180" s="14">
        <v>8.0528124999998951E-3</v>
      </c>
      <c r="I180" s="14">
        <v>1.4072833333333312E-2</v>
      </c>
      <c r="J180" s="14">
        <v>1.6223791666666654E-2</v>
      </c>
      <c r="K180" s="14">
        <v>4.5658749999999415E-3</v>
      </c>
      <c r="L180" s="14">
        <v>1.5458124999999878E-2</v>
      </c>
      <c r="M180" s="14">
        <v>0</v>
      </c>
      <c r="N180" s="14">
        <v>0</v>
      </c>
      <c r="O180" s="14">
        <v>1.182499999998754E-4</v>
      </c>
      <c r="P180" s="14">
        <v>7.9743287035394239E-3</v>
      </c>
      <c r="Q180" s="14">
        <v>1.5171374999999987E-2</v>
      </c>
      <c r="R180" s="14">
        <v>8.813958333333316E-3</v>
      </c>
      <c r="S180" s="14">
        <v>7.2914999999998953E-3</v>
      </c>
      <c r="T180" s="14">
        <v>5.1952499999998736E-3</v>
      </c>
      <c r="U180" s="14">
        <v>4.9247499999999222E-3</v>
      </c>
      <c r="V180" s="14">
        <v>0</v>
      </c>
      <c r="W180" s="14">
        <v>0</v>
      </c>
      <c r="X180" s="14">
        <v>0</v>
      </c>
      <c r="Y180" s="14">
        <v>9.5999999999984986E-5</v>
      </c>
      <c r="Z180" s="14">
        <v>1.6136149552845702E-2</v>
      </c>
      <c r="AA180" s="14">
        <v>0</v>
      </c>
      <c r="AB180" s="14">
        <v>6.0162499999993901E-4</v>
      </c>
      <c r="AC180" s="14">
        <v>0</v>
      </c>
      <c r="AD180" s="14">
        <v>0</v>
      </c>
      <c r="AE180" s="14">
        <v>0</v>
      </c>
      <c r="AF180">
        <v>0</v>
      </c>
      <c r="AG180">
        <v>1.1927187500000436E-3</v>
      </c>
      <c r="AH180">
        <v>1.5239687499999377E-3</v>
      </c>
      <c r="AI180">
        <v>1.9137499999999363E-4</v>
      </c>
      <c r="AJ180">
        <v>6.8337499999998608E-4</v>
      </c>
      <c r="AK180">
        <v>2.5906874999999108E-3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2">
      <c r="A181">
        <v>0.26056099999999999</v>
      </c>
      <c r="B181">
        <v>0</v>
      </c>
      <c r="C181" s="14">
        <v>6.3434999999989472E-4</v>
      </c>
      <c r="D181" s="14">
        <v>3.4634166666667188E-3</v>
      </c>
      <c r="E181" s="14">
        <v>2.1900000000008024E-4</v>
      </c>
      <c r="F181" s="14">
        <v>3.6981250000012178E-4</v>
      </c>
      <c r="G181" s="14">
        <v>0</v>
      </c>
      <c r="H181" s="14">
        <v>0</v>
      </c>
      <c r="I181" s="14">
        <v>1.3052166666666642E-2</v>
      </c>
      <c r="J181" s="14">
        <v>2.0088708333333316E-2</v>
      </c>
      <c r="K181" s="14">
        <v>0</v>
      </c>
      <c r="L181" s="14">
        <v>1.6588374999999989E-2</v>
      </c>
      <c r="M181" s="14">
        <v>5.359624999999979E-3</v>
      </c>
      <c r="N181" s="14">
        <v>0</v>
      </c>
      <c r="O181" s="14">
        <v>8.6677500000000851E-3</v>
      </c>
      <c r="P181" s="14">
        <v>9.7200601849551926E-3</v>
      </c>
      <c r="Q181" s="14">
        <v>1.2446124999999975E-2</v>
      </c>
      <c r="R181" s="14">
        <v>2.5615416666666668E-3</v>
      </c>
      <c r="S181" s="14">
        <v>3.7554999999999117E-3</v>
      </c>
      <c r="T181" s="14">
        <v>0</v>
      </c>
      <c r="U181" s="14">
        <v>2.922499999999939E-4</v>
      </c>
      <c r="V181" s="14">
        <v>0</v>
      </c>
      <c r="W181" s="14">
        <v>0</v>
      </c>
      <c r="X181" s="14">
        <v>1.5720000000000178E-3</v>
      </c>
      <c r="Y181" s="14">
        <v>8.3400000000005692E-4</v>
      </c>
      <c r="Z181" s="14">
        <v>1.4548573684160404E-2</v>
      </c>
      <c r="AA181" s="14">
        <v>0</v>
      </c>
      <c r="AB181" s="14">
        <v>0</v>
      </c>
      <c r="AC181" s="14">
        <v>1.6403750000000272E-3</v>
      </c>
      <c r="AD181" s="14">
        <v>0</v>
      </c>
      <c r="AE181" s="14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2">
      <c r="A182">
        <v>0.26539599999999997</v>
      </c>
      <c r="B182">
        <v>3.5539249521754357E-4</v>
      </c>
      <c r="C182" s="14">
        <v>2.5172984488909256E-3</v>
      </c>
      <c r="D182" s="14">
        <v>0</v>
      </c>
      <c r="E182" s="14">
        <v>0</v>
      </c>
      <c r="F182" s="14">
        <v>3.0221957499614316E-3</v>
      </c>
      <c r="G182" s="14">
        <v>1.9212704444815376E-4</v>
      </c>
      <c r="H182" s="14">
        <v>0</v>
      </c>
      <c r="I182" s="14">
        <v>3.0628430708512511E-3</v>
      </c>
      <c r="J182" s="14">
        <v>1.3015960532892223E-2</v>
      </c>
      <c r="K182" s="14">
        <v>6.2014565775658781E-4</v>
      </c>
      <c r="L182" s="14">
        <v>6.6718898454062314E-3</v>
      </c>
      <c r="M182" s="14">
        <v>1.1886014649363341E-2</v>
      </c>
      <c r="N182" s="14">
        <v>6.4156568688280569E-3</v>
      </c>
      <c r="O182" s="14">
        <v>1.0874549247712251E-2</v>
      </c>
      <c r="P182" s="14">
        <v>1.2779012318575034E-2</v>
      </c>
      <c r="Q182" s="14">
        <v>3.4871264153870651E-3</v>
      </c>
      <c r="R182" s="14">
        <v>0</v>
      </c>
      <c r="S182" s="14">
        <v>8.7474693655964497E-4</v>
      </c>
      <c r="T182" s="14">
        <v>4.9450428881651076E-3</v>
      </c>
      <c r="U182" s="14">
        <v>0</v>
      </c>
      <c r="V182" s="14">
        <v>2.6023634937871742E-3</v>
      </c>
      <c r="W182" s="14">
        <v>1.6817237862573053E-3</v>
      </c>
      <c r="X182" s="14">
        <v>1.709219843855081E-3</v>
      </c>
      <c r="Y182" s="14">
        <v>0</v>
      </c>
      <c r="Z182" s="14">
        <v>2.4336129343379809E-2</v>
      </c>
      <c r="AA182" s="14">
        <v>4.4343234407047127E-3</v>
      </c>
      <c r="AB182" s="14">
        <v>2.42699493304388E-3</v>
      </c>
      <c r="AC182" s="14">
        <v>2.1145140978579002E-3</v>
      </c>
      <c r="AD182" s="14">
        <v>1.5863427175430989E-3</v>
      </c>
      <c r="AE182" s="14">
        <v>5.2545289454182242E-3</v>
      </c>
      <c r="AF182">
        <v>1.1194900487736636E-2</v>
      </c>
      <c r="AG182">
        <v>1.2310439825586883E-3</v>
      </c>
      <c r="AH182">
        <v>2.3014173345052846E-3</v>
      </c>
      <c r="AI182">
        <v>2.811788566603024E-3</v>
      </c>
      <c r="AJ182">
        <v>1.4995463006050036E-3</v>
      </c>
      <c r="AK182">
        <v>1.476771741378502E-3</v>
      </c>
      <c r="AL182">
        <v>2.5612513744551757E-3</v>
      </c>
      <c r="AM182">
        <v>1.2988405976940287E-3</v>
      </c>
      <c r="AN182">
        <v>1.7091534736225489E-3</v>
      </c>
      <c r="AO182">
        <v>0</v>
      </c>
      <c r="AP182">
        <v>1.3584794995088467E-3</v>
      </c>
    </row>
    <row r="183" spans="1:42" x14ac:dyDescent="0.2">
      <c r="A183">
        <v>0.270231</v>
      </c>
      <c r="B183">
        <v>4.1117748565228096E-4</v>
      </c>
      <c r="C183" s="14">
        <v>2.431295346672413E-3</v>
      </c>
      <c r="D183" s="14">
        <v>2.5790520138579964E-4</v>
      </c>
      <c r="E183" s="14">
        <v>0</v>
      </c>
      <c r="F183" s="14">
        <v>8.6308724988382046E-4</v>
      </c>
      <c r="G183" s="14">
        <v>5.1703811333437821E-3</v>
      </c>
      <c r="H183" s="14">
        <v>0</v>
      </c>
      <c r="I183" s="14">
        <v>0</v>
      </c>
      <c r="J183" s="14">
        <v>5.0685482653430869E-3</v>
      </c>
      <c r="K183" s="14">
        <v>8.8604369732694366E-3</v>
      </c>
      <c r="L183" s="14">
        <v>0</v>
      </c>
      <c r="M183" s="14">
        <v>1.0208710614756256E-2</v>
      </c>
      <c r="N183" s="14">
        <v>2.2637970606483648E-2</v>
      </c>
      <c r="O183" s="14">
        <v>1.1986647743136403E-2</v>
      </c>
      <c r="P183" s="14">
        <v>8.6191851043987411E-3</v>
      </c>
      <c r="Q183" s="14">
        <v>0</v>
      </c>
      <c r="R183" s="14">
        <v>0</v>
      </c>
      <c r="S183" s="14">
        <v>0</v>
      </c>
      <c r="T183" s="14">
        <v>1.8007128664495164E-2</v>
      </c>
      <c r="U183" s="14">
        <v>1.0671596349723922E-3</v>
      </c>
      <c r="V183" s="14">
        <v>6.2037571480276776E-3</v>
      </c>
      <c r="W183" s="14">
        <v>5.3741713587716067E-3</v>
      </c>
      <c r="X183" s="14">
        <v>2.0565953156514993E-4</v>
      </c>
      <c r="Y183" s="14">
        <v>2.739625407166546E-4</v>
      </c>
      <c r="Z183" s="14">
        <v>2.963881653050382E-2</v>
      </c>
      <c r="AA183" s="14">
        <v>6.6319703221137116E-3</v>
      </c>
      <c r="AB183" s="14">
        <v>2.0309847991314411E-3</v>
      </c>
      <c r="AC183" s="14">
        <v>5.2138756269066722E-3</v>
      </c>
      <c r="AD183" s="14">
        <v>3.5550281526290917E-3</v>
      </c>
      <c r="AE183" s="14">
        <v>5.5925868362546316E-3</v>
      </c>
      <c r="AF183">
        <v>2.1700368129878522E-2</v>
      </c>
      <c r="AG183">
        <v>3.1451319476759609E-3</v>
      </c>
      <c r="AH183">
        <v>5.2642520035157681E-3</v>
      </c>
      <c r="AI183">
        <v>4.06136569980875E-3</v>
      </c>
      <c r="AJ183">
        <v>1.6546389018148866E-3</v>
      </c>
      <c r="AK183">
        <v>0</v>
      </c>
      <c r="AL183">
        <v>1.8877541233649486E-3</v>
      </c>
      <c r="AM183">
        <v>3.8975217930820039E-3</v>
      </c>
      <c r="AN183">
        <v>3.0494604208675113E-3</v>
      </c>
      <c r="AO183">
        <v>6.297578331007081E-4</v>
      </c>
      <c r="AP183">
        <v>5.8244384985264297E-3</v>
      </c>
    </row>
    <row r="184" spans="1:42" x14ac:dyDescent="0.2">
      <c r="A184">
        <v>0.27506700000000001</v>
      </c>
      <c r="B184">
        <v>1.7773225143478122E-3</v>
      </c>
      <c r="C184" s="14">
        <v>4.9629046533261612E-3</v>
      </c>
      <c r="D184" s="14">
        <v>0</v>
      </c>
      <c r="E184" s="14">
        <v>1.0734132818020381E-2</v>
      </c>
      <c r="F184" s="14">
        <v>0</v>
      </c>
      <c r="G184" s="14">
        <v>1.2330285533322938E-2</v>
      </c>
      <c r="H184" s="14">
        <v>4.0807422056776677E-4</v>
      </c>
      <c r="I184" s="14">
        <v>0</v>
      </c>
      <c r="J184" s="14">
        <v>0</v>
      </c>
      <c r="K184" s="14">
        <v>1.6222229693397483E-2</v>
      </c>
      <c r="L184" s="14">
        <v>0</v>
      </c>
      <c r="M184" s="14">
        <v>1.9679560519104689E-3</v>
      </c>
      <c r="N184" s="14">
        <v>2.4639029393516254E-2</v>
      </c>
      <c r="O184" s="14">
        <v>0</v>
      </c>
      <c r="P184" s="14">
        <v>8.1765926725991811E-3</v>
      </c>
      <c r="Q184" s="14">
        <v>0</v>
      </c>
      <c r="R184" s="14">
        <v>6.0751395998137614E-4</v>
      </c>
      <c r="S184" s="14">
        <v>0</v>
      </c>
      <c r="T184" s="14">
        <v>2.6581871335504936E-2</v>
      </c>
      <c r="U184" s="14">
        <v>3.3075070316943567E-3</v>
      </c>
      <c r="V184" s="14">
        <v>3.0209095186392032E-3</v>
      </c>
      <c r="W184" s="14">
        <v>2.8293286412285346E-3</v>
      </c>
      <c r="X184" s="14">
        <v>0</v>
      </c>
      <c r="Y184" s="14">
        <v>0</v>
      </c>
      <c r="Z184" s="14">
        <v>3.9206451538254861E-2</v>
      </c>
      <c r="AA184" s="14">
        <v>4.6706963445530825E-3</v>
      </c>
      <c r="AB184" s="14">
        <v>2.2890152008686604E-3</v>
      </c>
      <c r="AC184" s="14">
        <v>0</v>
      </c>
      <c r="AD184" s="14">
        <v>3.662971847370744E-3</v>
      </c>
      <c r="AE184" s="14">
        <v>9.8657464970786091E-3</v>
      </c>
      <c r="AF184">
        <v>2.421929853678606E-2</v>
      </c>
      <c r="AG184">
        <v>7.5735347189906932E-3</v>
      </c>
      <c r="AH184">
        <v>1.2491414663150735E-2</v>
      </c>
      <c r="AI184">
        <v>3.9963009668581018E-3</v>
      </c>
      <c r="AJ184">
        <v>1.5893610981851936E-3</v>
      </c>
      <c r="AK184">
        <v>2.1321847758647428E-3</v>
      </c>
      <c r="AL184">
        <v>5.6955792099685487E-3</v>
      </c>
      <c r="AM184">
        <v>4.9624782069178641E-3</v>
      </c>
      <c r="AN184">
        <v>6.6848729124656669E-3</v>
      </c>
      <c r="AO184">
        <v>0</v>
      </c>
      <c r="AP184">
        <v>7.3365615014734376E-3</v>
      </c>
    </row>
    <row r="185" spans="1:42" x14ac:dyDescent="0.2">
      <c r="A185">
        <v>0.27990199999999998</v>
      </c>
      <c r="B185">
        <v>4.101075047825975E-4</v>
      </c>
      <c r="C185" s="14">
        <v>2.0339015511077196E-3</v>
      </c>
      <c r="D185" s="14">
        <v>0</v>
      </c>
      <c r="E185" s="14">
        <v>1.6678896124524889E-2</v>
      </c>
      <c r="F185" s="14">
        <v>0</v>
      </c>
      <c r="G185" s="14">
        <v>7.9015396222186229E-3</v>
      </c>
      <c r="H185" s="14">
        <v>1.4355024740189237E-2</v>
      </c>
      <c r="I185" s="14">
        <v>9.7610009392825603E-3</v>
      </c>
      <c r="J185" s="14">
        <v>5.5773509642726982E-3</v>
      </c>
      <c r="K185" s="14">
        <v>1.6806521008910225E-2</v>
      </c>
      <c r="L185" s="14">
        <v>8.2269586758698665E-3</v>
      </c>
      <c r="M185" s="14">
        <v>0</v>
      </c>
      <c r="N185" s="14">
        <v>1.7564343131172055E-2</v>
      </c>
      <c r="O185" s="14">
        <v>0</v>
      </c>
      <c r="P185" s="14">
        <v>1.6266765458425536E-2</v>
      </c>
      <c r="Q185" s="14">
        <v>6.9994040983747396E-3</v>
      </c>
      <c r="R185" s="14">
        <v>9.044004653326998E-3</v>
      </c>
      <c r="S185" s="14">
        <v>2.7958150302465068E-3</v>
      </c>
      <c r="T185" s="14">
        <v>2.8377957111834884E-2</v>
      </c>
      <c r="U185" s="14">
        <v>5.5509467883425589E-3</v>
      </c>
      <c r="V185" s="14">
        <v>0</v>
      </c>
      <c r="W185" s="14">
        <v>0</v>
      </c>
      <c r="X185" s="14">
        <v>0</v>
      </c>
      <c r="Y185" s="14">
        <v>6.4262688071958785E-4</v>
      </c>
      <c r="Z185" s="14">
        <v>4.2104138735943208E-2</v>
      </c>
      <c r="AA185" s="14">
        <v>5.9923432259620935E-3</v>
      </c>
      <c r="AB185" s="14">
        <v>0</v>
      </c>
      <c r="AC185" s="14">
        <v>8.018192354756204E-4</v>
      </c>
      <c r="AD185" s="14">
        <v>0</v>
      </c>
      <c r="AE185" s="14">
        <v>7.2498043879151153E-3</v>
      </c>
      <c r="AF185">
        <v>2.2802766178927958E-2</v>
      </c>
      <c r="AG185">
        <v>9.4886226841079946E-3</v>
      </c>
      <c r="AH185">
        <v>1.1953249332161242E-2</v>
      </c>
      <c r="AI185">
        <v>1.9638781000638206E-3</v>
      </c>
      <c r="AJ185">
        <v>1.6354536993950508E-3</v>
      </c>
      <c r="AK185">
        <v>3.8272825862151194E-4</v>
      </c>
      <c r="AL185">
        <v>3.3810819588784291E-3</v>
      </c>
      <c r="AM185">
        <v>3.5131594023058987E-3</v>
      </c>
      <c r="AN185">
        <v>8.1351798597107949E-3</v>
      </c>
      <c r="AO185">
        <v>1.9091405563315123E-4</v>
      </c>
      <c r="AP185">
        <v>8.9595205004910916E-3</v>
      </c>
    </row>
    <row r="186" spans="1:42" x14ac:dyDescent="0.2">
      <c r="A186">
        <v>0.28473699999999996</v>
      </c>
      <c r="B186">
        <v>0</v>
      </c>
      <c r="C186" s="14">
        <v>1.2908499999988443E-3</v>
      </c>
      <c r="D186" s="14">
        <v>1.523285714285727E-3</v>
      </c>
      <c r="E186" s="14">
        <v>2.5684597222221717E-2</v>
      </c>
      <c r="F186" s="14">
        <v>2.8439999999999577E-3</v>
      </c>
      <c r="G186" s="14">
        <v>0</v>
      </c>
      <c r="H186" s="14">
        <v>1.8457249999999981E-2</v>
      </c>
      <c r="I186" s="14">
        <v>1.2769833333333258E-2</v>
      </c>
      <c r="J186" s="14">
        <v>1.7245124999999972E-2</v>
      </c>
      <c r="K186" s="14">
        <v>7.7653749999999633E-3</v>
      </c>
      <c r="L186" s="14">
        <v>1.4331906250000026E-2</v>
      </c>
      <c r="M186" s="14">
        <v>0</v>
      </c>
      <c r="N186" s="14">
        <v>5.1303749999999093E-3</v>
      </c>
      <c r="O186" s="14">
        <v>0</v>
      </c>
      <c r="P186" s="14">
        <v>2.5887717592050663E-2</v>
      </c>
      <c r="Q186" s="14">
        <v>1.4619583333333352E-2</v>
      </c>
      <c r="R186" s="14">
        <v>9.1671874999998959E-3</v>
      </c>
      <c r="S186" s="14">
        <v>8.633874999999902E-3</v>
      </c>
      <c r="T186" s="14">
        <v>1.7048749999999946E-2</v>
      </c>
      <c r="U186" s="14">
        <v>7.5741249999999871E-3</v>
      </c>
      <c r="V186" s="14">
        <v>5.1268749999999752E-4</v>
      </c>
      <c r="W186" s="14">
        <v>4.9212500000006543E-4</v>
      </c>
      <c r="X186" s="14">
        <v>3.6912499999985915E-4</v>
      </c>
      <c r="Y186" s="14">
        <v>0</v>
      </c>
      <c r="Z186" s="14">
        <v>4.2813694416244052E-2</v>
      </c>
      <c r="AA186" s="14">
        <v>1.9547500000001161E-3</v>
      </c>
      <c r="AB186" s="14">
        <v>0</v>
      </c>
      <c r="AC186" s="14">
        <v>0</v>
      </c>
      <c r="AD186" s="14">
        <v>0</v>
      </c>
      <c r="AE186" s="14">
        <v>3.3216249999999947E-3</v>
      </c>
      <c r="AF186">
        <v>1.8651041666665535E-2</v>
      </c>
      <c r="AG186">
        <v>4.1835000000000067E-3</v>
      </c>
      <c r="AH186">
        <v>1.0103874999999873E-2</v>
      </c>
      <c r="AI186">
        <v>0</v>
      </c>
      <c r="AJ186">
        <v>1.7903750000000107E-3</v>
      </c>
      <c r="AK186">
        <v>0</v>
      </c>
      <c r="AL186">
        <v>0</v>
      </c>
      <c r="AM186">
        <v>0</v>
      </c>
      <c r="AN186">
        <v>4.8812499999999481E-3</v>
      </c>
      <c r="AO186">
        <v>0</v>
      </c>
      <c r="AP186">
        <v>4.1292499999998622E-3</v>
      </c>
    </row>
    <row r="187" spans="1:42" x14ac:dyDescent="0.2">
      <c r="A187">
        <v>0.289572</v>
      </c>
      <c r="B187">
        <v>3.0087499999997824E-4</v>
      </c>
      <c r="C187" s="14">
        <v>6.2347499999986233E-3</v>
      </c>
      <c r="D187" s="14">
        <v>1.5944857142856872E-2</v>
      </c>
      <c r="E187" s="14">
        <v>3.3158236111110462E-2</v>
      </c>
      <c r="F187" s="14">
        <v>5.4689999999999461E-3</v>
      </c>
      <c r="G187" s="14">
        <v>0</v>
      </c>
      <c r="H187" s="14">
        <v>4.8397500000000315E-3</v>
      </c>
      <c r="I187" s="14">
        <v>6.5901666666665637E-3</v>
      </c>
      <c r="J187" s="14">
        <v>1.5567374999999939E-2</v>
      </c>
      <c r="K187" s="14">
        <v>0</v>
      </c>
      <c r="L187" s="14">
        <v>1.1686468750000012E-2</v>
      </c>
      <c r="M187" s="14">
        <v>4.1765625000000917E-3</v>
      </c>
      <c r="N187" s="14">
        <v>8.2271249999998908E-3</v>
      </c>
      <c r="O187" s="14">
        <v>4.3063125000000202E-3</v>
      </c>
      <c r="P187" s="14">
        <v>3.310244907347426E-2</v>
      </c>
      <c r="Q187" s="14">
        <v>7.8024166666667005E-3</v>
      </c>
      <c r="R187" s="14">
        <v>3.4930625000000326E-3</v>
      </c>
      <c r="S187" s="14">
        <v>3.096624999999964E-3</v>
      </c>
      <c r="T187" s="14">
        <v>1.563250000000016E-3</v>
      </c>
      <c r="U187" s="14">
        <v>1.1760416666666273E-3</v>
      </c>
      <c r="V187" s="14">
        <v>4.7100625000000562E-3</v>
      </c>
      <c r="W187" s="14">
        <v>0</v>
      </c>
      <c r="X187" s="14">
        <v>3.6233749999999842E-3</v>
      </c>
      <c r="Y187" s="14">
        <v>3.6913750000000523E-3</v>
      </c>
      <c r="Z187" s="14">
        <v>4.1663118579157166E-2</v>
      </c>
      <c r="AA187" s="14">
        <v>0</v>
      </c>
      <c r="AB187" s="14">
        <v>0</v>
      </c>
      <c r="AC187" s="14">
        <v>2.624875000000082E-3</v>
      </c>
      <c r="AD187" s="14">
        <v>0</v>
      </c>
      <c r="AE187" s="14">
        <v>0</v>
      </c>
      <c r="AF187">
        <v>1.5374124999998906E-2</v>
      </c>
      <c r="AG187">
        <v>2.1601666666666297E-3</v>
      </c>
      <c r="AH187">
        <v>3.7829166666669689E-4</v>
      </c>
      <c r="AI187">
        <v>6.3341666666660856E-4</v>
      </c>
      <c r="AJ187">
        <v>0</v>
      </c>
      <c r="AK187">
        <v>8.2024999999996684E-4</v>
      </c>
      <c r="AL187">
        <v>8.2945833333336605E-4</v>
      </c>
      <c r="AM187">
        <v>5.0587499999998897E-4</v>
      </c>
      <c r="AN187">
        <v>2.9390833333333699E-3</v>
      </c>
      <c r="AO187">
        <v>0</v>
      </c>
      <c r="AP187">
        <v>1.8137500000000584E-3</v>
      </c>
    </row>
    <row r="188" spans="1:42" x14ac:dyDescent="0.2">
      <c r="A188">
        <v>0.29440699999999997</v>
      </c>
      <c r="B188">
        <v>0</v>
      </c>
      <c r="C188" s="14">
        <v>1.6428698448889945E-2</v>
      </c>
      <c r="D188" s="14">
        <v>2.6211446885594736E-2</v>
      </c>
      <c r="E188" s="14">
        <v>3.6258937208807351E-2</v>
      </c>
      <c r="F188" s="14">
        <v>0</v>
      </c>
      <c r="G188" s="14">
        <v>6.7532618961463342E-4</v>
      </c>
      <c r="H188" s="14">
        <v>0</v>
      </c>
      <c r="I188" s="14">
        <v>0</v>
      </c>
      <c r="J188" s="14">
        <v>5.5791490357273155E-3</v>
      </c>
      <c r="K188" s="14">
        <v>0</v>
      </c>
      <c r="L188" s="14">
        <v>1.3844163241302221E-3</v>
      </c>
      <c r="M188" s="14">
        <v>2.1123697585442303E-3</v>
      </c>
      <c r="N188" s="14">
        <v>1.9964156868827909E-2</v>
      </c>
      <c r="O188" s="14">
        <v>1.7095826482603771E-3</v>
      </c>
      <c r="P188" s="14">
        <v>3.0910401207103311E-2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7.047276769557298E-4</v>
      </c>
      <c r="W188" s="14">
        <v>0</v>
      </c>
      <c r="X188" s="14">
        <v>0</v>
      </c>
      <c r="Y188" s="14">
        <v>0</v>
      </c>
      <c r="Z188" s="14">
        <v>5.0684674271206043E-2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>
        <v>1.8988400487736645E-2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2">
      <c r="A189">
        <v>0.29924200000000001</v>
      </c>
      <c r="B189">
        <v>0</v>
      </c>
      <c r="C189" s="14">
        <v>3.5593695346671339E-2</v>
      </c>
      <c r="D189" s="14">
        <v>3.6917054942497751E-2</v>
      </c>
      <c r="E189" s="14">
        <v>4.3515700515311728E-2</v>
      </c>
      <c r="F189" s="14">
        <v>0</v>
      </c>
      <c r="G189" s="14">
        <v>5.9639785688431202E-3</v>
      </c>
      <c r="H189" s="14">
        <v>0</v>
      </c>
      <c r="I189" s="14">
        <v>0</v>
      </c>
      <c r="J189" s="14">
        <v>0</v>
      </c>
      <c r="K189" s="14">
        <v>9.5449891680884358E-3</v>
      </c>
      <c r="L189" s="14">
        <v>0</v>
      </c>
      <c r="M189" s="14">
        <v>2.7836092756320374E-3</v>
      </c>
      <c r="N189" s="14">
        <v>0</v>
      </c>
      <c r="O189" s="14">
        <v>2.6122479447805436E-3</v>
      </c>
      <c r="P189" s="14">
        <v>3.6157573992937286E-2</v>
      </c>
      <c r="Q189" s="14">
        <v>0</v>
      </c>
      <c r="R189" s="14">
        <v>0</v>
      </c>
      <c r="S189" s="14">
        <v>0</v>
      </c>
      <c r="T189" s="14">
        <v>1.3736613375494588E-2</v>
      </c>
      <c r="U189" s="14">
        <v>0</v>
      </c>
      <c r="V189" s="14">
        <v>8.8396830308669072E-3</v>
      </c>
      <c r="W189" s="14">
        <v>1.4909843337985729E-3</v>
      </c>
      <c r="X189" s="14">
        <v>0</v>
      </c>
      <c r="Y189" s="14">
        <v>0</v>
      </c>
      <c r="Z189" s="14">
        <v>6.5722361492390302E-2</v>
      </c>
      <c r="AA189" s="14">
        <v>6.9825104699861029E-4</v>
      </c>
      <c r="AB189" s="14">
        <v>0</v>
      </c>
      <c r="AC189" s="14">
        <v>5.9412033503954964E-3</v>
      </c>
      <c r="AD189" s="14">
        <v>1.4291482084689555E-3</v>
      </c>
      <c r="AE189" s="14">
        <v>3.1184262447649935E-3</v>
      </c>
      <c r="AF189">
        <v>2.7414868129878478E-2</v>
      </c>
      <c r="AG189">
        <v>7.2554606793862053E-4</v>
      </c>
      <c r="AH189">
        <v>3.0193843454319191E-3</v>
      </c>
      <c r="AI189">
        <v>2.8988937878082766E-3</v>
      </c>
      <c r="AJ189">
        <v>3.336678015614436E-3</v>
      </c>
      <c r="AK189">
        <v>2.8101248642775634E-4</v>
      </c>
      <c r="AL189">
        <v>3.3643638126259479E-3</v>
      </c>
      <c r="AM189">
        <v>0</v>
      </c>
      <c r="AN189">
        <v>3.473809497957725E-3</v>
      </c>
      <c r="AO189">
        <v>6.7701861330848878E-4</v>
      </c>
      <c r="AP189">
        <v>2.5338128586939179E-3</v>
      </c>
    </row>
    <row r="190" spans="1:42" x14ac:dyDescent="0.2">
      <c r="A190">
        <v>0.30407799999999996</v>
      </c>
      <c r="B190">
        <v>1.5894872809059102E-3</v>
      </c>
      <c r="C190" s="14">
        <v>5.3656304653325826E-2</v>
      </c>
      <c r="D190" s="14">
        <v>4.214451648607298E-2</v>
      </c>
      <c r="E190" s="14">
        <v>5.4264966151352789E-2</v>
      </c>
      <c r="F190" s="14">
        <v>0</v>
      </c>
      <c r="G190" s="14">
        <v>1.6713354764490096E-2</v>
      </c>
      <c r="H190" s="14">
        <v>5.9034561036142019E-3</v>
      </c>
      <c r="I190" s="14">
        <v>7.4997991313796586E-4</v>
      </c>
      <c r="J190" s="14">
        <v>0</v>
      </c>
      <c r="K190" s="14">
        <v>1.604867749857819E-2</v>
      </c>
      <c r="L190" s="14">
        <v>9.8730010276097957E-3</v>
      </c>
      <c r="M190" s="14">
        <v>0</v>
      </c>
      <c r="N190" s="14">
        <v>7.3725283077408221E-4</v>
      </c>
      <c r="O190" s="14">
        <v>0</v>
      </c>
      <c r="P190" s="14">
        <v>4.6870981561149438E-2</v>
      </c>
      <c r="Q190" s="14">
        <v>2.1975744199959069E-3</v>
      </c>
      <c r="R190" s="14">
        <v>1.5367072281682326E-3</v>
      </c>
      <c r="S190" s="14">
        <v>1.7610338141782478E-4</v>
      </c>
      <c r="T190" s="14">
        <v>2.7521613897230957E-2</v>
      </c>
      <c r="U190" s="14">
        <v>5.9345959360945777E-4</v>
      </c>
      <c r="V190" s="14">
        <v>1.1394316969132845E-2</v>
      </c>
      <c r="W190" s="14">
        <v>0</v>
      </c>
      <c r="X190" s="14">
        <v>1.2803248650165022E-3</v>
      </c>
      <c r="Y190" s="14">
        <v>1.2803248650165022E-3</v>
      </c>
      <c r="Z190" s="14">
        <v>7.7368996535286394E-2</v>
      </c>
      <c r="AA190" s="14">
        <v>0</v>
      </c>
      <c r="AB190" s="14">
        <v>0</v>
      </c>
      <c r="AC190" s="14">
        <v>0</v>
      </c>
      <c r="AD190" s="14">
        <v>3.7485179153096126E-4</v>
      </c>
      <c r="AE190" s="14">
        <v>1.8395737552350244E-3</v>
      </c>
      <c r="AF190">
        <v>4.1418798536786205E-2</v>
      </c>
      <c r="AG190">
        <v>1.8634539320614429E-3</v>
      </c>
      <c r="AH190">
        <v>1.0242865654568001E-2</v>
      </c>
      <c r="AI190">
        <v>2.4596062121917672E-3</v>
      </c>
      <c r="AJ190">
        <v>1.2929886510523181E-3</v>
      </c>
      <c r="AK190">
        <v>1.8509875135722664E-3</v>
      </c>
      <c r="AL190">
        <v>3.176361873739042E-4</v>
      </c>
      <c r="AM190">
        <v>3.6540104441341592E-3</v>
      </c>
      <c r="AN190">
        <v>4.9845238353756205E-3</v>
      </c>
      <c r="AO190">
        <v>0</v>
      </c>
      <c r="AP190">
        <v>5.8611871413059013E-3</v>
      </c>
    </row>
    <row r="191" spans="1:42" x14ac:dyDescent="0.2">
      <c r="A191">
        <v>0.30891299999999999</v>
      </c>
      <c r="B191">
        <v>1.3804957603019141E-3</v>
      </c>
      <c r="C191" s="14">
        <v>6.2102301551107297E-2</v>
      </c>
      <c r="D191" s="14">
        <v>4.7600124542976241E-2</v>
      </c>
      <c r="E191" s="14">
        <v>5.9552729457857057E-2</v>
      </c>
      <c r="F191" s="14">
        <v>8.9679532254447469E-3</v>
      </c>
      <c r="G191" s="14">
        <v>1.5439007143718708E-2</v>
      </c>
      <c r="H191" s="14">
        <v>2.7342652034537784E-2</v>
      </c>
      <c r="I191" s="14">
        <v>1.1660826637712507E-2</v>
      </c>
      <c r="J191" s="14">
        <v>3.0659687771585897E-3</v>
      </c>
      <c r="K191" s="14">
        <v>1.3807670277303674E-2</v>
      </c>
      <c r="L191" s="14">
        <v>0</v>
      </c>
      <c r="M191" s="14">
        <v>0</v>
      </c>
      <c r="N191" s="14">
        <v>2.2147509435911372E-3</v>
      </c>
      <c r="O191" s="14">
        <v>0</v>
      </c>
      <c r="P191" s="14">
        <v>6.0429154346988367E-2</v>
      </c>
      <c r="Q191" s="14">
        <v>1.4907953378093253E-2</v>
      </c>
      <c r="R191" s="14">
        <v>6.0362357427226065E-3</v>
      </c>
      <c r="S191" s="14">
        <v>2.5015344604725209E-3</v>
      </c>
      <c r="T191" s="14">
        <v>3.3981689480893973E-2</v>
      </c>
      <c r="U191" s="14">
        <v>3.8618198645363755E-3</v>
      </c>
      <c r="V191" s="14">
        <v>1.8436272323044123E-2</v>
      </c>
      <c r="W191" s="14">
        <v>1.2267188873360535E-4</v>
      </c>
      <c r="X191" s="14">
        <v>3.8435209867510034E-3</v>
      </c>
      <c r="Y191" s="14">
        <v>3.8435209867510034E-3</v>
      </c>
      <c r="Z191" s="14">
        <v>8.4531683769189514E-2</v>
      </c>
      <c r="AA191" s="14">
        <v>0</v>
      </c>
      <c r="AB191" s="14">
        <v>1.3803562638952105E-3</v>
      </c>
      <c r="AC191" s="14">
        <v>0</v>
      </c>
      <c r="AD191" s="14">
        <v>8.5428393051023566E-4</v>
      </c>
      <c r="AE191" s="14">
        <v>6.7385791841156895E-4</v>
      </c>
      <c r="AF191">
        <v>4.054826617892815E-2</v>
      </c>
      <c r="AG191">
        <v>3.2218179773537692E-3</v>
      </c>
      <c r="AH191">
        <v>1.2655788551522607E-2</v>
      </c>
      <c r="AI191">
        <v>0</v>
      </c>
      <c r="AJ191">
        <v>2.5334406614618832E-3</v>
      </c>
      <c r="AK191">
        <v>0</v>
      </c>
      <c r="AL191">
        <v>2.4152120624578721E-3</v>
      </c>
      <c r="AM191">
        <v>5.3137812591557143E-3</v>
      </c>
      <c r="AN191">
        <v>9.8887301673472594E-3</v>
      </c>
      <c r="AO191">
        <v>1.9066604622304251E-3</v>
      </c>
      <c r="AP191">
        <v>1.0284062380435111E-2</v>
      </c>
    </row>
    <row r="192" spans="1:42" x14ac:dyDescent="0.2">
      <c r="A192">
        <v>0.31374799999999997</v>
      </c>
      <c r="B192">
        <v>9.5224999999998783E-4</v>
      </c>
      <c r="C192" s="14">
        <v>6.1577249999998696E-2</v>
      </c>
      <c r="D192" s="14">
        <v>5.1522714285713977E-2</v>
      </c>
      <c r="E192" s="14">
        <v>7.1184430555554457E-2</v>
      </c>
      <c r="F192" s="14">
        <v>2.2312791666666443E-2</v>
      </c>
      <c r="G192" s="14">
        <v>3.2267499999998339E-3</v>
      </c>
      <c r="H192" s="14">
        <v>2.6468937500000012E-2</v>
      </c>
      <c r="I192" s="14">
        <v>1.3821937499999937E-2</v>
      </c>
      <c r="J192" s="14">
        <v>1.5756220238093643E-2</v>
      </c>
      <c r="K192" s="14">
        <v>2.8160000000000407E-3</v>
      </c>
      <c r="L192" s="14">
        <v>3.1209624999997132E-3</v>
      </c>
      <c r="M192" s="14">
        <v>1.4969374999999063E-3</v>
      </c>
      <c r="N192" s="14">
        <v>6.2874999999995573E-4</v>
      </c>
      <c r="O192" s="14">
        <v>0</v>
      </c>
      <c r="P192" s="14">
        <v>7.8144106480627307E-2</v>
      </c>
      <c r="Q192" s="14">
        <v>2.4773928571427573E-2</v>
      </c>
      <c r="R192" s="14">
        <v>5.6122499999998743E-3</v>
      </c>
      <c r="S192" s="14">
        <v>6.1384374999999824E-3</v>
      </c>
      <c r="T192" s="14">
        <v>2.9504380681816267E-2</v>
      </c>
      <c r="U192" s="14">
        <v>3.4107500000000179E-3</v>
      </c>
      <c r="V192" s="14">
        <v>0</v>
      </c>
      <c r="W192" s="14">
        <v>0</v>
      </c>
      <c r="X192" s="14">
        <v>8.5943988095230628E-3</v>
      </c>
      <c r="Y192" s="14">
        <v>8.5943988095230628E-3</v>
      </c>
      <c r="Z192" s="14">
        <v>9.3553239486619533E-2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>
        <v>5.08345416666659E-2</v>
      </c>
      <c r="AG192">
        <v>4.1428749999999903E-3</v>
      </c>
      <c r="AH192">
        <v>9.6004062500000265E-3</v>
      </c>
      <c r="AI192">
        <v>1.4629999999999921E-3</v>
      </c>
      <c r="AJ192">
        <v>4.3206250000000779E-3</v>
      </c>
      <c r="AK192">
        <v>0</v>
      </c>
      <c r="AL192">
        <v>4.6449999999997882E-4</v>
      </c>
      <c r="AM192">
        <v>1.39525000000007E-3</v>
      </c>
      <c r="AN192">
        <v>1.0199624999999934E-2</v>
      </c>
      <c r="AO192">
        <v>0</v>
      </c>
      <c r="AP192">
        <v>6.2856249999998504E-3</v>
      </c>
    </row>
    <row r="193" spans="1:42" x14ac:dyDescent="0.2">
      <c r="A193">
        <v>0.31858300000000001</v>
      </c>
      <c r="B193">
        <v>7.4274999999990321E-4</v>
      </c>
      <c r="C193" s="14">
        <v>6.3240149999998829E-2</v>
      </c>
      <c r="D193" s="14">
        <v>6.2663285714285255E-2</v>
      </c>
      <c r="E193" s="14">
        <v>7.3846069444443163E-2</v>
      </c>
      <c r="F193" s="14">
        <v>2.3624708333333189E-2</v>
      </c>
      <c r="G193" s="14">
        <v>0</v>
      </c>
      <c r="H193" s="14">
        <v>7.8753125000000646E-3</v>
      </c>
      <c r="I193" s="14">
        <v>3.7323125000000568E-3</v>
      </c>
      <c r="J193" s="14">
        <v>1.8821708333331189E-2</v>
      </c>
      <c r="K193" s="14">
        <v>0</v>
      </c>
      <c r="L193" s="14">
        <v>5.6448874999991405E-3</v>
      </c>
      <c r="M193" s="14">
        <v>4.6008124999999955E-3</v>
      </c>
      <c r="N193" s="14">
        <v>0</v>
      </c>
      <c r="O193" s="14">
        <v>6.2753125000000187E-3</v>
      </c>
      <c r="P193" s="14">
        <v>9.1702837962065686E-2</v>
      </c>
      <c r="Q193" s="14">
        <v>2.3155499999998663E-2</v>
      </c>
      <c r="R193" s="14">
        <v>2.5637500000000868E-3</v>
      </c>
      <c r="S193" s="14">
        <v>2.8848125000000557E-3</v>
      </c>
      <c r="T193" s="14">
        <v>1.5291687499997764E-2</v>
      </c>
      <c r="U193" s="14">
        <v>7.7224999999991883E-4</v>
      </c>
      <c r="V193" s="14">
        <v>0</v>
      </c>
      <c r="W193" s="14">
        <v>0</v>
      </c>
      <c r="X193" s="14">
        <v>1.3452958333332155E-2</v>
      </c>
      <c r="Y193" s="14">
        <v>1.9141249999999888E-3</v>
      </c>
      <c r="Z193" s="14">
        <v>0.10509066368757614</v>
      </c>
      <c r="AA193" s="14">
        <v>0</v>
      </c>
      <c r="AB193" s="14">
        <v>1.9463437499993574E-3</v>
      </c>
      <c r="AC193" s="14">
        <v>1.2578749999999639E-3</v>
      </c>
      <c r="AD193" s="14">
        <v>4.23749999999945E-4</v>
      </c>
      <c r="AE193" s="14">
        <v>0</v>
      </c>
      <c r="AF193">
        <v>5.0729624999999445E-2</v>
      </c>
      <c r="AG193">
        <v>2.0006250000000891E-3</v>
      </c>
      <c r="AH193">
        <v>1.0044718749999904E-2</v>
      </c>
      <c r="AI193">
        <v>1.3260000000000494E-3</v>
      </c>
      <c r="AJ193">
        <v>0</v>
      </c>
      <c r="AK193">
        <v>1.9554374999999347E-3</v>
      </c>
      <c r="AL193">
        <v>0</v>
      </c>
      <c r="AM193">
        <v>9.7541666666667304E-4</v>
      </c>
      <c r="AN193">
        <v>7.9932083333331683E-3</v>
      </c>
      <c r="AO193">
        <v>0</v>
      </c>
      <c r="AP193">
        <v>6.8808749999997865E-3</v>
      </c>
    </row>
    <row r="194" spans="1:42" x14ac:dyDescent="0.2">
      <c r="A194">
        <v>0.32341799999999998</v>
      </c>
      <c r="B194">
        <v>1.8465042396980103E-3</v>
      </c>
      <c r="C194" s="14">
        <v>6.3154098448890084E-2</v>
      </c>
      <c r="D194" s="14">
        <v>6.5273875457023012E-2</v>
      </c>
      <c r="E194" s="14">
        <v>7.03837705421404E-2</v>
      </c>
      <c r="F194" s="14">
        <v>8.9695467745547486E-3</v>
      </c>
      <c r="G194" s="14">
        <v>9.306118091103599E-4</v>
      </c>
      <c r="H194" s="14">
        <v>0</v>
      </c>
      <c r="I194" s="14">
        <v>0</v>
      </c>
      <c r="J194" s="14">
        <v>6.355959794266175E-3</v>
      </c>
      <c r="K194" s="14">
        <v>0</v>
      </c>
      <c r="L194" s="14">
        <v>3.1384258621567351E-3</v>
      </c>
      <c r="M194" s="14">
        <v>5.8452773900005139E-3</v>
      </c>
      <c r="N194" s="14">
        <v>0</v>
      </c>
      <c r="O194" s="14">
        <v>3.4597862313221484E-3</v>
      </c>
      <c r="P194" s="14">
        <v>9.9573790095710546E-2</v>
      </c>
      <c r="Q194" s="14">
        <v>1.4537475193333038E-2</v>
      </c>
      <c r="R194" s="14">
        <v>0</v>
      </c>
      <c r="S194" s="14">
        <v>0</v>
      </c>
      <c r="T194" s="14">
        <v>2.2845378700920072E-2</v>
      </c>
      <c r="U194" s="14">
        <v>0</v>
      </c>
      <c r="V194" s="14">
        <v>3.6272424982105589E-3</v>
      </c>
      <c r="W194" s="14">
        <v>0</v>
      </c>
      <c r="X194" s="14">
        <v>1.7875836156104219E-2</v>
      </c>
      <c r="Y194" s="14">
        <v>0</v>
      </c>
      <c r="Z194" s="14">
        <v>0.11892521941840861</v>
      </c>
      <c r="AA194" s="14">
        <v>0</v>
      </c>
      <c r="AB194" s="14">
        <v>8.3123156765411155E-3</v>
      </c>
      <c r="AC194" s="14">
        <v>0</v>
      </c>
      <c r="AD194" s="14">
        <v>0</v>
      </c>
      <c r="AE194" s="14">
        <v>0</v>
      </c>
      <c r="AF194">
        <v>4.8546900487737132E-2</v>
      </c>
      <c r="AG194">
        <v>0</v>
      </c>
      <c r="AH194">
        <v>3.0523364484773552E-3</v>
      </c>
      <c r="AI194">
        <v>0</v>
      </c>
      <c r="AJ194">
        <v>6.7044945969707559E-4</v>
      </c>
      <c r="AK194">
        <v>0</v>
      </c>
      <c r="AL194">
        <v>4.3787040483944661E-4</v>
      </c>
      <c r="AM194">
        <v>0</v>
      </c>
      <c r="AN194">
        <v>4.6941031659858412E-3</v>
      </c>
      <c r="AO194">
        <v>0</v>
      </c>
      <c r="AP194">
        <v>3.8437619564568593E-5</v>
      </c>
    </row>
    <row r="195" spans="1:42" x14ac:dyDescent="0.2">
      <c r="A195">
        <v>0.32825299999999996</v>
      </c>
      <c r="B195">
        <v>0</v>
      </c>
      <c r="C195" s="14">
        <v>6.3287095346671984E-2</v>
      </c>
      <c r="D195" s="14">
        <v>5.7166483513926281E-2</v>
      </c>
      <c r="E195" s="14">
        <v>5.4453533848645153E-2</v>
      </c>
      <c r="F195" s="14">
        <v>0</v>
      </c>
      <c r="G195" s="14">
        <v>6.2918354273304722E-3</v>
      </c>
      <c r="H195" s="14">
        <v>0</v>
      </c>
      <c r="I195" s="14">
        <v>0</v>
      </c>
      <c r="J195" s="14">
        <v>8.919746208981838E-4</v>
      </c>
      <c r="K195" s="14">
        <v>5.2039903912868279E-3</v>
      </c>
      <c r="L195" s="14">
        <v>6.3157758647247597E-4</v>
      </c>
      <c r="M195" s="14">
        <v>0</v>
      </c>
      <c r="N195" s="14">
        <v>0</v>
      </c>
      <c r="O195" s="14">
        <v>0</v>
      </c>
      <c r="P195" s="14">
        <v>0.10963296288156132</v>
      </c>
      <c r="Q195" s="14">
        <v>1.9810854151430468E-2</v>
      </c>
      <c r="R195" s="14">
        <v>0</v>
      </c>
      <c r="S195" s="14">
        <v>0</v>
      </c>
      <c r="T195" s="14">
        <v>3.1820454284583244E-2</v>
      </c>
      <c r="U195" s="14">
        <v>0</v>
      </c>
      <c r="V195" s="14">
        <v>1.5474727494631746E-2</v>
      </c>
      <c r="W195" s="14">
        <v>0</v>
      </c>
      <c r="X195" s="14">
        <v>2.0986032277838795E-2</v>
      </c>
      <c r="Y195" s="14">
        <v>0</v>
      </c>
      <c r="Z195" s="14">
        <v>0.13614990667911642</v>
      </c>
      <c r="AA195" s="14">
        <v>0</v>
      </c>
      <c r="AB195" s="14">
        <v>5.4916970296248202E-3</v>
      </c>
      <c r="AC195" s="14">
        <v>0</v>
      </c>
      <c r="AD195" s="14">
        <v>0</v>
      </c>
      <c r="AE195" s="14">
        <v>0</v>
      </c>
      <c r="AF195">
        <v>5.4567368129879279E-2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1.1773094979575793E-3</v>
      </c>
      <c r="AO195">
        <v>0</v>
      </c>
      <c r="AP195">
        <v>0</v>
      </c>
    </row>
    <row r="196" spans="1:42" x14ac:dyDescent="0.2">
      <c r="A196">
        <v>0.33308899999999997</v>
      </c>
      <c r="B196">
        <v>0</v>
      </c>
      <c r="C196" s="14">
        <v>6.3630704653326209E-2</v>
      </c>
      <c r="D196" s="14">
        <v>4.4019945057501397E-2</v>
      </c>
      <c r="E196" s="14">
        <v>4.3983799484685671E-2</v>
      </c>
      <c r="F196" s="14">
        <v>0</v>
      </c>
      <c r="G196" s="14">
        <v>1.3833164572669254E-2</v>
      </c>
      <c r="H196" s="14">
        <v>1.2329787575616535E-2</v>
      </c>
      <c r="I196" s="14">
        <v>4.3826978267232919E-3</v>
      </c>
      <c r="J196" s="14">
        <v>1.2920882521951338E-2</v>
      </c>
      <c r="K196" s="14">
        <v>1.0706799082395024E-2</v>
      </c>
      <c r="L196" s="14">
        <v>1.34338224135232E-2</v>
      </c>
      <c r="M196" s="14">
        <v>1.4062142857141913E-3</v>
      </c>
      <c r="N196" s="14">
        <v>0</v>
      </c>
      <c r="O196" s="14">
        <v>0</v>
      </c>
      <c r="P196" s="14">
        <v>0.14025237044979111</v>
      </c>
      <c r="Q196" s="14">
        <v>4.0283002991422068E-2</v>
      </c>
      <c r="R196" s="14">
        <v>4.8582864295189099E-3</v>
      </c>
      <c r="S196" s="14">
        <v>6.9434123537214232E-3</v>
      </c>
      <c r="T196" s="14">
        <v>0</v>
      </c>
      <c r="U196" s="14">
        <v>9.3790309976884423E-3</v>
      </c>
      <c r="V196" s="14">
        <v>3.5194640926419218E-2</v>
      </c>
      <c r="W196" s="14">
        <v>3.8425785464346607E-4</v>
      </c>
      <c r="X196" s="14">
        <v>3.5249682007871597E-2</v>
      </c>
      <c r="Y196" s="14">
        <v>4.562155128138512E-3</v>
      </c>
      <c r="Z196" s="14">
        <v>0.12920254176210588</v>
      </c>
      <c r="AA196" s="14">
        <v>3.5225120619125638E-3</v>
      </c>
      <c r="AB196" s="14">
        <v>1.5791802970372082E-2</v>
      </c>
      <c r="AC196" s="14">
        <v>4.357837451935187E-3</v>
      </c>
      <c r="AD196" s="14">
        <v>3.116884091334704E-3</v>
      </c>
      <c r="AE196" s="14">
        <v>2.3523395119173784E-3</v>
      </c>
      <c r="AF196">
        <v>2.5777798536786856E-2</v>
      </c>
      <c r="AG196">
        <v>1.4204816193578162E-3</v>
      </c>
      <c r="AH196">
        <v>2.5004216172895832E-3</v>
      </c>
      <c r="AI196">
        <v>0</v>
      </c>
      <c r="AJ196">
        <v>9.6885047308814531E-4</v>
      </c>
      <c r="AK196">
        <v>1.8718949123621709E-3</v>
      </c>
      <c r="AL196">
        <v>0</v>
      </c>
      <c r="AM196">
        <v>1.2186722506590808E-4</v>
      </c>
      <c r="AN196">
        <v>1.034402383537536E-2</v>
      </c>
      <c r="AO196">
        <v>6.6885295486263097E-4</v>
      </c>
      <c r="AP196">
        <v>0</v>
      </c>
    </row>
    <row r="197" spans="1:42" x14ac:dyDescent="0.2">
      <c r="A197">
        <v>0.337924</v>
      </c>
      <c r="B197">
        <v>8.753139703219226E-4</v>
      </c>
      <c r="C197" s="14">
        <v>5.3263701551108156E-2</v>
      </c>
      <c r="D197" s="14">
        <v>1.0975553114404679E-2</v>
      </c>
      <c r="E197" s="14">
        <v>7.7095627911905051E-3</v>
      </c>
      <c r="F197" s="14">
        <v>9.2277503489990309E-3</v>
      </c>
      <c r="G197" s="14">
        <v>6.506388190889556E-3</v>
      </c>
      <c r="H197" s="14">
        <v>3.1088929191871895E-2</v>
      </c>
      <c r="I197" s="14">
        <v>1.4467825201499362E-2</v>
      </c>
      <c r="J197" s="14">
        <v>3.9612897348583642E-2</v>
      </c>
      <c r="K197" s="14">
        <v>1.5561792676586195E-2</v>
      </c>
      <c r="L197" s="14">
        <v>2.9520974137838718E-2</v>
      </c>
      <c r="M197" s="14">
        <v>0</v>
      </c>
      <c r="N197" s="14">
        <v>0</v>
      </c>
      <c r="O197" s="14">
        <v>0</v>
      </c>
      <c r="P197" s="14">
        <v>0.16868554323564866</v>
      </c>
      <c r="Q197" s="14">
        <v>3.5493381949519676E-2</v>
      </c>
      <c r="R197" s="14">
        <v>1.2393336217246254E-2</v>
      </c>
      <c r="S197" s="14">
        <v>6.011004142025822E-4</v>
      </c>
      <c r="T197" s="14">
        <v>0</v>
      </c>
      <c r="U197" s="14">
        <v>1.803160682378957E-2</v>
      </c>
      <c r="V197" s="14">
        <v>5.9729125922840298E-2</v>
      </c>
      <c r="W197" s="14">
        <v>1.1219178544139452E-2</v>
      </c>
      <c r="X197" s="14">
        <v>5.4983878129606256E-2</v>
      </c>
      <c r="Y197" s="14">
        <v>1.59864591167862E-2</v>
      </c>
      <c r="Z197" s="14">
        <v>0.15627122903665625</v>
      </c>
      <c r="AA197" s="14">
        <v>1.3310732090811683E-2</v>
      </c>
      <c r="AB197" s="14">
        <v>3.7471184323455753E-2</v>
      </c>
      <c r="AC197" s="14">
        <v>2.4979524764679129E-2</v>
      </c>
      <c r="AD197" s="14">
        <v>7.8877332936015954E-3</v>
      </c>
      <c r="AE197" s="14">
        <v>6.406835392860688E-3</v>
      </c>
      <c r="AF197">
        <v>0</v>
      </c>
      <c r="AG197">
        <v>1.8594938731191224E-3</v>
      </c>
      <c r="AH197">
        <v>8.0522516502073982E-3</v>
      </c>
      <c r="AI197">
        <v>4.0798304120626128E-5</v>
      </c>
      <c r="AJ197">
        <v>6.1495015769585937E-4</v>
      </c>
      <c r="AK197">
        <v>2.0092983041205548E-3</v>
      </c>
      <c r="AL197">
        <v>0</v>
      </c>
      <c r="AM197">
        <v>1.2436224083551828E-3</v>
      </c>
      <c r="AN197">
        <v>2.2029230167347258E-2</v>
      </c>
      <c r="AO197">
        <v>0</v>
      </c>
      <c r="AP197">
        <v>1.5304637126654086E-3</v>
      </c>
    </row>
    <row r="198" spans="1:42" x14ac:dyDescent="0.2">
      <c r="A198">
        <v>0.34275899999999998</v>
      </c>
      <c r="B198">
        <v>0</v>
      </c>
      <c r="C198" s="14">
        <v>1.1396649999999786E-2</v>
      </c>
      <c r="D198" s="14">
        <v>2.6481428571427656E-3</v>
      </c>
      <c r="E198" s="14">
        <v>5.5592638888879442E-3</v>
      </c>
      <c r="F198" s="14">
        <v>1.5600124999999965E-2</v>
      </c>
      <c r="G198" s="14">
        <v>0</v>
      </c>
      <c r="H198" s="14">
        <v>2.0535124999999876E-2</v>
      </c>
      <c r="I198" s="14">
        <v>2.1489986111109527E-2</v>
      </c>
      <c r="J198" s="14">
        <v>5.2959148809518908E-2</v>
      </c>
      <c r="K198" s="14">
        <v>1.1227888157892219E-2</v>
      </c>
      <c r="L198" s="14">
        <v>5.2826512499996592E-2</v>
      </c>
      <c r="M198" s="14">
        <v>1.9237941176466489E-3</v>
      </c>
      <c r="N198" s="14">
        <v>0</v>
      </c>
      <c r="O198" s="14">
        <v>7.5464722222209346E-3</v>
      </c>
      <c r="P198" s="14">
        <v>0.20390049536930699</v>
      </c>
      <c r="Q198" s="14">
        <v>5.3781357142854147E-2</v>
      </c>
      <c r="R198" s="14">
        <v>2.6598701388887647E-2</v>
      </c>
      <c r="S198" s="14">
        <v>1.8211180555554263E-2</v>
      </c>
      <c r="T198" s="14">
        <v>1.4885221590905107E-2</v>
      </c>
      <c r="U198" s="14">
        <v>3.2043631578945408E-2</v>
      </c>
      <c r="V198" s="14">
        <v>8.5358289473682292E-2</v>
      </c>
      <c r="W198" s="14">
        <v>2.4132423611109788E-2</v>
      </c>
      <c r="X198" s="14">
        <v>7.3406755952378444E-2</v>
      </c>
      <c r="Y198" s="14">
        <v>3.0473263888887825E-2</v>
      </c>
      <c r="Z198" s="14">
        <v>0.19099578479511237</v>
      </c>
      <c r="AA198" s="14">
        <v>2.7692447368419137E-2</v>
      </c>
      <c r="AB198" s="14">
        <v>1.9337156249997545E-2</v>
      </c>
      <c r="AC198" s="14">
        <v>4.4835789473682719E-2</v>
      </c>
      <c r="AD198" s="14">
        <v>1.8017052631577157E-2</v>
      </c>
      <c r="AE198" s="14">
        <v>1.625772916666568E-2</v>
      </c>
      <c r="AF198">
        <v>0</v>
      </c>
      <c r="AG198">
        <v>0</v>
      </c>
      <c r="AH198">
        <v>9.9935833333332225E-3</v>
      </c>
      <c r="AI198">
        <v>0</v>
      </c>
      <c r="AJ198">
        <v>0</v>
      </c>
      <c r="AK198">
        <v>0</v>
      </c>
      <c r="AL198">
        <v>2.4574999999993352E-4</v>
      </c>
      <c r="AM198">
        <v>0</v>
      </c>
      <c r="AN198">
        <v>0</v>
      </c>
      <c r="AO198">
        <v>1.2287499999996676E-4</v>
      </c>
      <c r="AP198">
        <v>3.7553333333332217E-3</v>
      </c>
    </row>
    <row r="199" spans="1:42" x14ac:dyDescent="0.2">
      <c r="A199">
        <v>0.34759399999999996</v>
      </c>
      <c r="B199">
        <v>0</v>
      </c>
      <c r="C199" s="14">
        <v>5.9055000000007851E-4</v>
      </c>
      <c r="D199" s="14">
        <v>0</v>
      </c>
      <c r="E199" s="14">
        <v>5.1589027777771967E-3</v>
      </c>
      <c r="F199" s="14">
        <v>7.0953750000002369E-3</v>
      </c>
      <c r="G199" s="14">
        <v>0</v>
      </c>
      <c r="H199" s="14">
        <v>4.9493750000002557E-3</v>
      </c>
      <c r="I199" s="14">
        <v>2.6105180555553664E-2</v>
      </c>
      <c r="J199" s="14">
        <v>7.5493636904756745E-2</v>
      </c>
      <c r="K199" s="14">
        <v>2.0237085526312981E-2</v>
      </c>
      <c r="L199" s="14">
        <v>7.569443749999627E-2</v>
      </c>
      <c r="M199" s="14">
        <v>1.6489382352940507E-2</v>
      </c>
      <c r="N199" s="14">
        <v>2.0244117646983639E-4</v>
      </c>
      <c r="O199" s="14">
        <v>2.3515861111109593E-2</v>
      </c>
      <c r="P199" s="14">
        <v>0.23977122685076557</v>
      </c>
      <c r="Q199" s="14">
        <v>8.0818928571425364E-2</v>
      </c>
      <c r="R199" s="14">
        <v>3.4788381944442892E-2</v>
      </c>
      <c r="S199" s="14">
        <v>4.2601652777776167E-2</v>
      </c>
      <c r="T199" s="14">
        <v>3.7203528409086806E-2</v>
      </c>
      <c r="U199" s="14">
        <v>4.2774105263155615E-2</v>
      </c>
      <c r="V199" s="14">
        <v>0.12411113157894538</v>
      </c>
      <c r="W199" s="14">
        <v>2.4466993055553998E-2</v>
      </c>
      <c r="X199" s="14">
        <v>0.10003131547618782</v>
      </c>
      <c r="Y199" s="14">
        <v>5.0646569444443124E-2</v>
      </c>
      <c r="Z199" s="14">
        <v>0.22572020903747392</v>
      </c>
      <c r="AA199" s="14">
        <v>1.6151657894734717E-2</v>
      </c>
      <c r="AB199" s="14">
        <v>4.5061718749997315E-2</v>
      </c>
      <c r="AC199" s="14">
        <v>3.6910631578945696E-2</v>
      </c>
      <c r="AD199" s="14">
        <v>3.6566842105261066E-2</v>
      </c>
      <c r="AE199" s="14">
        <v>2.8185020833331964E-2</v>
      </c>
      <c r="AF199">
        <v>7.5884375000001558E-4</v>
      </c>
      <c r="AG199">
        <v>1.7500000000000293E-3</v>
      </c>
      <c r="AH199">
        <v>4.7164166666667784E-3</v>
      </c>
      <c r="AI199">
        <v>0</v>
      </c>
      <c r="AJ199">
        <v>0</v>
      </c>
      <c r="AK199">
        <v>0</v>
      </c>
      <c r="AL199">
        <v>0</v>
      </c>
      <c r="AM199">
        <v>7.2475000000005174E-4</v>
      </c>
      <c r="AN199">
        <v>0</v>
      </c>
      <c r="AO199">
        <v>0</v>
      </c>
      <c r="AP199">
        <v>5.4326666666667522E-3</v>
      </c>
    </row>
    <row r="200" spans="1:42" x14ac:dyDescent="0.2">
      <c r="A200">
        <v>0.35242899999999999</v>
      </c>
      <c r="B200">
        <v>4.1075875084062297E-5</v>
      </c>
      <c r="C200" s="14">
        <v>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3.6409341465163392E-2</v>
      </c>
      <c r="J200" s="14">
        <v>9.1464888365691444E-2</v>
      </c>
      <c r="K200" s="14">
        <v>3.996618100761884E-2</v>
      </c>
      <c r="L200" s="14">
        <v>0.10599897586215379</v>
      </c>
      <c r="M200" s="14">
        <v>3.1931866416054722E-2</v>
      </c>
      <c r="N200" s="14">
        <v>1.4119749711826612E-2</v>
      </c>
      <c r="O200" s="14">
        <v>3.9704069983739876E-2</v>
      </c>
      <c r="P200" s="14">
        <v>0.28154817898443096</v>
      </c>
      <c r="Q200" s="14">
        <v>0.10873190376475961</v>
      </c>
      <c r="R200" s="14">
        <v>4.6806747116084013E-2</v>
      </c>
      <c r="S200" s="14">
        <v>7.1586732919127538E-2</v>
      </c>
      <c r="T200" s="14">
        <v>6.6304219610009096E-2</v>
      </c>
      <c r="U200" s="14">
        <v>6.1489130018311244E-2</v>
      </c>
      <c r="V200" s="14">
        <v>0.16702129512978736</v>
      </c>
      <c r="W200" s="14">
        <v>4.8645238122523971E-2</v>
      </c>
      <c r="X200" s="14">
        <v>0.13300019329895973</v>
      </c>
      <c r="Y200" s="14">
        <v>7.7492374216544424E-2</v>
      </c>
      <c r="Z200" s="14">
        <v>0.27466376480990007</v>
      </c>
      <c r="AA200" s="14">
        <v>4.4971373172341789E-2</v>
      </c>
      <c r="AB200" s="14">
        <v>8.084969067653891E-2</v>
      </c>
      <c r="AC200" s="14">
        <v>7.2188896287949111E-2</v>
      </c>
      <c r="AD200" s="14">
        <v>3.96961614432364E-2</v>
      </c>
      <c r="AE200" s="14">
        <v>2.6441914607136741E-2</v>
      </c>
      <c r="AF200">
        <v>0</v>
      </c>
      <c r="AG200">
        <v>0</v>
      </c>
      <c r="AH200">
        <v>4.908748349792158E-3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4.3755362873342252E-3</v>
      </c>
    </row>
    <row r="201" spans="1:42" x14ac:dyDescent="0.2">
      <c r="A201">
        <v>0.35726399999999997</v>
      </c>
      <c r="B201">
        <v>0</v>
      </c>
      <c r="C201" s="14">
        <v>0</v>
      </c>
      <c r="D201" s="14">
        <v>0</v>
      </c>
      <c r="E201" s="14">
        <v>0</v>
      </c>
      <c r="F201" s="14">
        <v>0</v>
      </c>
      <c r="G201" s="14">
        <v>8.2559803009130128E-4</v>
      </c>
      <c r="H201" s="14">
        <v>0</v>
      </c>
      <c r="I201" s="14">
        <v>5.7869468839939708E-2</v>
      </c>
      <c r="J201" s="14">
        <v>0.12384390319232397</v>
      </c>
      <c r="K201" s="14">
        <v>7.7414174601810215E-2</v>
      </c>
      <c r="L201" s="14">
        <v>0.13893112758646953</v>
      </c>
      <c r="M201" s="14">
        <v>5.8968246306989824E-2</v>
      </c>
      <c r="N201" s="14">
        <v>4.8819072664894492E-2</v>
      </c>
      <c r="O201" s="14">
        <v>6.3111098840112456E-2</v>
      </c>
      <c r="P201" s="14">
        <v>0.3336073517703031</v>
      </c>
      <c r="Q201" s="14">
        <v>0.14627028272285725</v>
      </c>
      <c r="R201" s="14">
        <v>7.5340796903811458E-2</v>
      </c>
      <c r="S201" s="14">
        <v>0.10954042097960892</v>
      </c>
      <c r="T201" s="14">
        <v>0.10699829519367232</v>
      </c>
      <c r="U201" s="14">
        <v>8.8407705844412487E-2</v>
      </c>
      <c r="V201" s="14">
        <v>0.21802478012620852</v>
      </c>
      <c r="W201" s="14">
        <v>8.5949158812020254E-2</v>
      </c>
      <c r="X201" s="14">
        <v>0.16411038942069456</v>
      </c>
      <c r="Y201" s="14">
        <v>0.10390067820519233</v>
      </c>
      <c r="Z201" s="14">
        <v>0.32995145211239063</v>
      </c>
      <c r="AA201" s="14">
        <v>7.8384593201241137E-2</v>
      </c>
      <c r="AB201" s="14">
        <v>0.12604407202962287</v>
      </c>
      <c r="AC201" s="14">
        <v>0.10899858360069326</v>
      </c>
      <c r="AD201" s="14">
        <v>7.1701010645503493E-2</v>
      </c>
      <c r="AE201" s="14">
        <v>6.0464410488080156E-2</v>
      </c>
      <c r="AF201">
        <v>1.6220362183960724E-3</v>
      </c>
      <c r="AG201">
        <v>2.2063091360313702E-4</v>
      </c>
      <c r="AH201">
        <v>3.5695783827101035E-3</v>
      </c>
      <c r="AI201">
        <v>0</v>
      </c>
      <c r="AJ201">
        <v>0</v>
      </c>
      <c r="AK201">
        <v>0</v>
      </c>
      <c r="AL201">
        <v>0</v>
      </c>
      <c r="AM201">
        <v>1.641963471382013E-3</v>
      </c>
      <c r="AN201">
        <v>0</v>
      </c>
      <c r="AO201">
        <v>0</v>
      </c>
      <c r="AP201">
        <v>1.7879421953362895E-3</v>
      </c>
    </row>
    <row r="202" spans="1:42" x14ac:dyDescent="0.2">
      <c r="A202">
        <v>0.36209999999999998</v>
      </c>
      <c r="B202">
        <v>0</v>
      </c>
      <c r="C202" s="14">
        <v>0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0.10622886449338687</v>
      </c>
      <c r="J202" s="14">
        <v>0.17590481109337763</v>
      </c>
      <c r="K202" s="14">
        <v>0.11376098329291828</v>
      </c>
      <c r="L202" s="14">
        <v>0.19307537241352035</v>
      </c>
      <c r="M202" s="14">
        <v>8.6435459575358475E-2</v>
      </c>
      <c r="N202" s="14">
        <v>8.6573280276277087E-2</v>
      </c>
      <c r="O202" s="14">
        <v>9.1762567826548569E-2</v>
      </c>
      <c r="P202" s="14">
        <v>0.40075775933855451</v>
      </c>
      <c r="Q202" s="14">
        <v>0.19146243156284914</v>
      </c>
      <c r="R202" s="14">
        <v>0.12038536976284975</v>
      </c>
      <c r="S202" s="14">
        <v>0.16477124568705215</v>
      </c>
      <c r="T202" s="14">
        <v>0.15775229571540883</v>
      </c>
      <c r="U202" s="14">
        <v>0.13139987310294943</v>
      </c>
      <c r="V202" s="14">
        <v>0.28258769355799596</v>
      </c>
      <c r="W202" s="14">
        <v>0.13287267452130758</v>
      </c>
      <c r="X202" s="14">
        <v>0.20703003915072749</v>
      </c>
      <c r="Y202" s="14">
        <v>0.14266498846146969</v>
      </c>
      <c r="Z202" s="14">
        <v>0.40011308723717265</v>
      </c>
      <c r="AA202" s="14">
        <v>0.12535677521980515</v>
      </c>
      <c r="AB202" s="14">
        <v>0.17692317797037016</v>
      </c>
      <c r="AC202" s="14">
        <v>0.15761689008351243</v>
      </c>
      <c r="AD202" s="14">
        <v>0.11551362093343809</v>
      </c>
      <c r="AE202" s="14">
        <v>0.10607608951191516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2">
      <c r="A203">
        <v>0.36693499999999996</v>
      </c>
      <c r="B203">
        <v>0</v>
      </c>
      <c r="C203" s="14">
        <v>0</v>
      </c>
      <c r="D203" s="14">
        <v>0</v>
      </c>
      <c r="E203" s="14">
        <v>0</v>
      </c>
      <c r="F203" s="14">
        <v>0</v>
      </c>
      <c r="G203" s="14">
        <v>0</v>
      </c>
      <c r="H203" s="14">
        <v>2.9780374592836001E-3</v>
      </c>
      <c r="I203" s="14">
        <v>0.16618899186816338</v>
      </c>
      <c r="J203" s="14">
        <v>0.25006482592001023</v>
      </c>
      <c r="K203" s="14">
        <v>0.16958397688711013</v>
      </c>
      <c r="L203" s="14">
        <v>0.26669452413783645</v>
      </c>
      <c r="M203" s="14">
        <v>0.13928383946629408</v>
      </c>
      <c r="N203" s="14">
        <v>0.13833560322934524</v>
      </c>
      <c r="O203" s="14">
        <v>0.1495135966829213</v>
      </c>
      <c r="P203" s="14">
        <v>0.48890993212443457</v>
      </c>
      <c r="Q203" s="14">
        <v>0.25656281052094698</v>
      </c>
      <c r="R203" s="14">
        <v>0.18206041955057728</v>
      </c>
      <c r="S203" s="14">
        <v>0.24056893374753363</v>
      </c>
      <c r="T203" s="14">
        <v>0.22404037129907228</v>
      </c>
      <c r="U203" s="14">
        <v>0.19167844892905084</v>
      </c>
      <c r="V203" s="14">
        <v>0.37056017855441736</v>
      </c>
      <c r="W203" s="14">
        <v>0.2005825952108039</v>
      </c>
      <c r="X203" s="14">
        <v>0.27434223527246249</v>
      </c>
      <c r="Y203" s="14">
        <v>0.20866729245011761</v>
      </c>
      <c r="Z203" s="14">
        <v>0.48755677455350799</v>
      </c>
      <c r="AA203" s="14">
        <v>0.19573899524870464</v>
      </c>
      <c r="AB203" s="14">
        <v>0.25514855932345426</v>
      </c>
      <c r="AC203" s="14">
        <v>0.23117657739625674</v>
      </c>
      <c r="AD203" s="14">
        <v>0.17529947013570524</v>
      </c>
      <c r="AE203" s="14">
        <v>0.16897358539285867</v>
      </c>
      <c r="AF203">
        <v>0</v>
      </c>
      <c r="AG203">
        <v>1.0335497880150979E-2</v>
      </c>
      <c r="AH203">
        <v>1.6352644640926783E-4</v>
      </c>
      <c r="AI203">
        <v>0</v>
      </c>
      <c r="AJ203">
        <v>0</v>
      </c>
      <c r="AK203">
        <v>0</v>
      </c>
      <c r="AL203">
        <v>0</v>
      </c>
      <c r="AM203">
        <v>8.4676684245910128E-4</v>
      </c>
      <c r="AN203">
        <v>0</v>
      </c>
      <c r="AO203">
        <v>0</v>
      </c>
      <c r="AP203">
        <v>1.2181279096220576E-2</v>
      </c>
    </row>
    <row r="204" spans="1:42" x14ac:dyDescent="0.2">
      <c r="A204">
        <v>0.37176999999999999</v>
      </c>
      <c r="B204">
        <v>0</v>
      </c>
      <c r="C204" s="14">
        <v>0</v>
      </c>
      <c r="D204" s="14">
        <v>0</v>
      </c>
      <c r="E204" s="14">
        <v>0</v>
      </c>
      <c r="F204" s="14">
        <v>0</v>
      </c>
      <c r="G204" s="14">
        <v>0</v>
      </c>
      <c r="H204" s="14">
        <v>0</v>
      </c>
      <c r="I204" s="14">
        <v>0.23796115277777341</v>
      </c>
      <c r="J204" s="14">
        <v>0.34566107738094543</v>
      </c>
      <c r="K204" s="14">
        <v>0.23765607236841602</v>
      </c>
      <c r="L204" s="14">
        <v>0.35606206249999417</v>
      </c>
      <c r="M204" s="14">
        <v>0.20875732352940846</v>
      </c>
      <c r="N204" s="14">
        <v>0.20693991176470239</v>
      </c>
      <c r="O204" s="14">
        <v>0.22104580555555176</v>
      </c>
      <c r="P204" s="14">
        <v>0.59718688425811495</v>
      </c>
      <c r="Q204" s="14">
        <v>0.3345697857142812</v>
      </c>
      <c r="R204" s="14">
        <v>0.26210978472221858</v>
      </c>
      <c r="S204" s="14">
        <v>0.33277201388888522</v>
      </c>
      <c r="T204" s="14">
        <v>0.31679606249999459</v>
      </c>
      <c r="U204" s="14">
        <v>0.26879947368420654</v>
      </c>
      <c r="V204" s="14">
        <v>0.47493834210525954</v>
      </c>
      <c r="W204" s="14">
        <v>0.28141784027777417</v>
      </c>
      <c r="X204" s="14">
        <v>0.35543611309523437</v>
      </c>
      <c r="Y204" s="14">
        <v>0.28626309722221932</v>
      </c>
      <c r="Z204" s="14">
        <v>0.59731233035356102</v>
      </c>
      <c r="AA204" s="14">
        <v>0.27421371052631194</v>
      </c>
      <c r="AB204" s="14">
        <v>0.34365453124999579</v>
      </c>
      <c r="AC204" s="14">
        <v>0.31654784210526021</v>
      </c>
      <c r="AD204" s="14">
        <v>0.24952178947368064</v>
      </c>
      <c r="AE204" s="14">
        <v>0.24980847916666349</v>
      </c>
      <c r="AF204">
        <v>0</v>
      </c>
      <c r="AG204">
        <v>0</v>
      </c>
      <c r="AH204">
        <v>8.9141874999998372E-3</v>
      </c>
      <c r="AI204">
        <v>1.6677499999998568E-3</v>
      </c>
      <c r="AJ204">
        <v>0</v>
      </c>
      <c r="AK204">
        <v>0</v>
      </c>
      <c r="AL204">
        <v>2.6798749999998872E-3</v>
      </c>
      <c r="AM204">
        <v>3.8553749999998832E-3</v>
      </c>
      <c r="AN204">
        <v>0</v>
      </c>
      <c r="AO204">
        <v>0</v>
      </c>
      <c r="AP204">
        <v>0</v>
      </c>
    </row>
    <row r="205" spans="1:42" x14ac:dyDescent="0.2">
      <c r="A205">
        <v>0.37660499999999997</v>
      </c>
      <c r="B205">
        <v>2.5950000000007911E-4</v>
      </c>
      <c r="C205" s="14">
        <v>0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0.32635734722221743</v>
      </c>
      <c r="J205" s="14">
        <v>0.45766356547618336</v>
      </c>
      <c r="K205" s="14">
        <v>0.32716526973683702</v>
      </c>
      <c r="L205" s="14">
        <v>0.46183498749999408</v>
      </c>
      <c r="M205" s="14">
        <v>0.29201091176470229</v>
      </c>
      <c r="N205" s="14">
        <v>0.29873120588234925</v>
      </c>
      <c r="O205" s="14">
        <v>0.3111701944444405</v>
      </c>
      <c r="P205" s="14">
        <v>0.72252561573959651</v>
      </c>
      <c r="Q205" s="14">
        <v>0.43576335714285275</v>
      </c>
      <c r="R205" s="14">
        <v>0.35681446527777383</v>
      </c>
      <c r="S205" s="14">
        <v>0.4442244861111071</v>
      </c>
      <c r="T205" s="14">
        <v>0.41283336931817638</v>
      </c>
      <c r="U205" s="14">
        <v>0.3645139473684168</v>
      </c>
      <c r="V205" s="14">
        <v>0.59966018421052247</v>
      </c>
      <c r="W205" s="14">
        <v>0.38062640972221828</v>
      </c>
      <c r="X205" s="14">
        <v>0.45184267261904398</v>
      </c>
      <c r="Y205" s="14">
        <v>0.3758894027777745</v>
      </c>
      <c r="Z205" s="14">
        <v>0.72522375463733246</v>
      </c>
      <c r="AA205" s="14">
        <v>0.37237592105262762</v>
      </c>
      <c r="AB205" s="14">
        <v>0.45709809374999566</v>
      </c>
      <c r="AC205" s="14">
        <v>0.42226268421052315</v>
      </c>
      <c r="AD205" s="14">
        <v>0.33774457894736487</v>
      </c>
      <c r="AE205" s="14">
        <v>0.34332977083333016</v>
      </c>
      <c r="AF205">
        <v>0</v>
      </c>
      <c r="AG205">
        <v>0</v>
      </c>
      <c r="AH205">
        <v>1.9195062500000137E-2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">
      <c r="A206">
        <v>0.38144</v>
      </c>
      <c r="B206">
        <v>0</v>
      </c>
      <c r="C206" s="14">
        <v>0</v>
      </c>
      <c r="D206" s="14">
        <v>0</v>
      </c>
      <c r="E206" s="14">
        <v>0</v>
      </c>
      <c r="F206" s="14">
        <v>0</v>
      </c>
      <c r="G206" s="14">
        <v>1.0991682277186055E-2</v>
      </c>
      <c r="H206" s="14">
        <v>0</v>
      </c>
      <c r="I206" s="14">
        <v>0.43684750813182749</v>
      </c>
      <c r="J206" s="14">
        <v>0.57447881693711844</v>
      </c>
      <c r="K206" s="14">
        <v>0.43308036521814275</v>
      </c>
      <c r="L206" s="14">
        <v>0.59560952586215166</v>
      </c>
      <c r="M206" s="14">
        <v>0.39976439582781653</v>
      </c>
      <c r="N206" s="14">
        <v>0.40517851441770625</v>
      </c>
      <c r="O206" s="14">
        <v>0.4244834033170708</v>
      </c>
      <c r="P206" s="14">
        <v>0.86470856787328465</v>
      </c>
      <c r="Q206" s="14">
        <v>0.5454883323361871</v>
      </c>
      <c r="R206" s="14">
        <v>0.47448783044941512</v>
      </c>
      <c r="S206" s="14">
        <v>0.57908456625245863</v>
      </c>
      <c r="T206" s="14">
        <v>0.52987106051909882</v>
      </c>
      <c r="U206" s="14">
        <v>0.47444697212357234</v>
      </c>
      <c r="V206" s="14">
        <v>0.74713134776136447</v>
      </c>
      <c r="W206" s="14">
        <v>0.50171065478918853</v>
      </c>
      <c r="X206" s="14">
        <v>0.56946655044181604</v>
      </c>
      <c r="Y206" s="14">
        <v>0.49045420754987601</v>
      </c>
      <c r="Z206" s="14">
        <v>0.87479231045079131</v>
      </c>
      <c r="AA206" s="14">
        <v>0.49263263633023491</v>
      </c>
      <c r="AB206" s="14">
        <v>0.59263506567653756</v>
      </c>
      <c r="AC206" s="14">
        <v>0.54919694891952664</v>
      </c>
      <c r="AD206" s="14">
        <v>0.44849789828534015</v>
      </c>
      <c r="AE206" s="14">
        <v>0.45960166460713492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 x14ac:dyDescent="0.2">
      <c r="A207">
        <v>0.38627499999999998</v>
      </c>
      <c r="B207">
        <v>0</v>
      </c>
      <c r="C207" s="14">
        <v>0</v>
      </c>
      <c r="D207" s="14">
        <v>0</v>
      </c>
      <c r="E207" s="14">
        <v>0</v>
      </c>
      <c r="F207" s="14">
        <v>0</v>
      </c>
      <c r="G207" s="14">
        <v>6.0537046831559582E-2</v>
      </c>
      <c r="H207" s="14">
        <v>4.9800126463112271E-2</v>
      </c>
      <c r="I207" s="14">
        <v>0.56505763550660415</v>
      </c>
      <c r="J207" s="14">
        <v>0.72607583176375123</v>
      </c>
      <c r="K207" s="14">
        <v>0.57859135881233437</v>
      </c>
      <c r="L207" s="14">
        <v>0.74360167758646756</v>
      </c>
      <c r="M207" s="14">
        <v>0.53005077571875225</v>
      </c>
      <c r="N207" s="14">
        <v>0.54837783737077417</v>
      </c>
      <c r="O207" s="14">
        <v>0.55004643217344396</v>
      </c>
      <c r="P207" s="14">
        <v>1.0278917406591801</v>
      </c>
      <c r="Q207" s="14">
        <v>0.67686971129428475</v>
      </c>
      <c r="R207" s="14">
        <v>0.60375688023714269</v>
      </c>
      <c r="S207" s="14">
        <v>0.73166325431294021</v>
      </c>
      <c r="T207" s="14">
        <v>0.66528313610276224</v>
      </c>
      <c r="U207" s="14">
        <v>0.60319354794967395</v>
      </c>
      <c r="V207" s="14">
        <v>0.9153848327577857</v>
      </c>
      <c r="W207" s="14">
        <v>0.64795157547868465</v>
      </c>
      <c r="X207" s="14">
        <v>0.7043737465635509</v>
      </c>
      <c r="Y207" s="14">
        <v>0.62536251153852396</v>
      </c>
      <c r="Z207" s="14">
        <v>1.0363919977939378</v>
      </c>
      <c r="AA207" s="14">
        <v>0.6382648563591341</v>
      </c>
      <c r="AB207" s="14">
        <v>0.75398544702962145</v>
      </c>
      <c r="AC207" s="14">
        <v>0.70259963623227073</v>
      </c>
      <c r="AD207" s="14">
        <v>0.5811267474876074</v>
      </c>
      <c r="AE207" s="14">
        <v>0.59884216048807826</v>
      </c>
      <c r="AF207">
        <v>0</v>
      </c>
      <c r="AG207">
        <v>0</v>
      </c>
      <c r="AH207">
        <v>0</v>
      </c>
      <c r="AI207">
        <v>0</v>
      </c>
      <c r="AJ207">
        <v>8.582363890174971E-5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2">
      <c r="A208">
        <v>0.39111099999999999</v>
      </c>
      <c r="B208">
        <v>0</v>
      </c>
      <c r="C208" s="14">
        <v>1.505915167459726E-2</v>
      </c>
      <c r="D208" s="14">
        <v>7.2371108008879581E-3</v>
      </c>
      <c r="E208" s="14">
        <v>3.7060264205561744E-3</v>
      </c>
      <c r="F208" s="14">
        <v>2.4792039231124274E-2</v>
      </c>
      <c r="G208" s="14">
        <v>0.12711710701458934</v>
      </c>
      <c r="H208" s="14">
        <v>0.12482925815226897</v>
      </c>
      <c r="I208" s="14">
        <v>0.73416603116005152</v>
      </c>
      <c r="J208" s="14">
        <v>0.90916673966480488</v>
      </c>
      <c r="K208" s="14">
        <v>0.73809416750344292</v>
      </c>
      <c r="L208" s="14">
        <v>0.91499692241351904</v>
      </c>
      <c r="M208" s="14">
        <v>0.67345498898712108</v>
      </c>
      <c r="N208" s="14">
        <v>0.71344404498215752</v>
      </c>
      <c r="O208" s="14">
        <v>0.69485390115987999</v>
      </c>
      <c r="P208" s="14">
        <v>1.2120731482274545</v>
      </c>
      <c r="Q208" s="14">
        <v>0.82640486013427672</v>
      </c>
      <c r="R208" s="14">
        <v>0.75970645309618101</v>
      </c>
      <c r="S208" s="14">
        <v>0.90217407902038338</v>
      </c>
      <c r="T208" s="14">
        <v>0.81666213662449871</v>
      </c>
      <c r="U208" s="14">
        <v>0.75512271520821095</v>
      </c>
      <c r="V208" s="14">
        <v>1.0923857461895734</v>
      </c>
      <c r="W208" s="14">
        <v>0.80928109118797198</v>
      </c>
      <c r="X208" s="14">
        <v>0.86093339629358401</v>
      </c>
      <c r="Y208" s="14">
        <v>0.77732882179480145</v>
      </c>
      <c r="Z208" s="14">
        <v>1.2356146329588236</v>
      </c>
      <c r="AA208" s="14">
        <v>0.8042360383776983</v>
      </c>
      <c r="AB208" s="14">
        <v>0.92539455297036888</v>
      </c>
      <c r="AC208" s="14">
        <v>0.86781194271508999</v>
      </c>
      <c r="AD208" s="14">
        <v>0.73475235777554182</v>
      </c>
      <c r="AE208" s="14">
        <v>0.75470383951191344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x14ac:dyDescent="0.2">
      <c r="A209">
        <v>0.39594599999999996</v>
      </c>
      <c r="B209">
        <v>0</v>
      </c>
      <c r="C209" s="14">
        <v>4.5247255686402088E-2</v>
      </c>
      <c r="D209" s="14">
        <v>4.7559425822517376E-2</v>
      </c>
      <c r="E209" s="14">
        <v>5.1839647695739899E-2</v>
      </c>
      <c r="F209" s="14">
        <v>9.1770448974475727E-2</v>
      </c>
      <c r="G209" s="14">
        <v>0.20028647156896362</v>
      </c>
      <c r="H209" s="14">
        <v>0.21082067579434494</v>
      </c>
      <c r="I209" s="14">
        <v>0.919032158534828</v>
      </c>
      <c r="J209" s="14">
        <v>1.1097637544914378</v>
      </c>
      <c r="K209" s="14">
        <v>0.9221041610976346</v>
      </c>
      <c r="L209" s="14">
        <v>1.1113330741378351</v>
      </c>
      <c r="M209" s="14">
        <v>0.84661536887805688</v>
      </c>
      <c r="N209" s="14">
        <v>0.89601736793522568</v>
      </c>
      <c r="O209" s="14">
        <v>0.86810493001625311</v>
      </c>
      <c r="P209" s="14">
        <v>1.4253503210133576</v>
      </c>
      <c r="Q209" s="14">
        <v>1.0037232390923747</v>
      </c>
      <c r="R209" s="14">
        <v>0.93097550288390885</v>
      </c>
      <c r="S209" s="14">
        <v>1.0943467670808655</v>
      </c>
      <c r="T209" s="14">
        <v>0.99998021220816224</v>
      </c>
      <c r="U209" s="14">
        <v>0.93243129103431244</v>
      </c>
      <c r="V209" s="14">
        <v>1.3043882311859947</v>
      </c>
      <c r="W209" s="14">
        <v>0.98133501187746885</v>
      </c>
      <c r="X209" s="14">
        <v>1.033026592415319</v>
      </c>
      <c r="Y209" s="14">
        <v>0.96342512578344963</v>
      </c>
      <c r="Z209" s="14">
        <v>1.4575893203146939</v>
      </c>
      <c r="AA209" s="14">
        <v>0.98530425840659763</v>
      </c>
      <c r="AB209" s="14">
        <v>1.121087934323453</v>
      </c>
      <c r="AC209" s="14">
        <v>1.0573086300278343</v>
      </c>
      <c r="AD209" s="14">
        <v>0.903474206977809</v>
      </c>
      <c r="AE209" s="14">
        <v>0.94097533539285694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 x14ac:dyDescent="0.2">
      <c r="A210">
        <v>0.400781</v>
      </c>
      <c r="B210">
        <v>0</v>
      </c>
      <c r="C210" s="14">
        <v>9.8180971153841057E-2</v>
      </c>
      <c r="D210" s="14">
        <v>0.12244035416666321</v>
      </c>
      <c r="E210" s="14">
        <v>0.13496807291666357</v>
      </c>
      <c r="F210" s="14">
        <v>0.17668204807691845</v>
      </c>
      <c r="G210" s="14">
        <v>0.30539042307691844</v>
      </c>
      <c r="H210" s="14">
        <v>0.2959339326923045</v>
      </c>
      <c r="I210" s="14">
        <v>1.1288343194444383</v>
      </c>
      <c r="J210" s="14">
        <v>1.3497350059523732</v>
      </c>
      <c r="K210" s="14">
        <v>1.1244882565789407</v>
      </c>
      <c r="L210" s="14">
        <v>1.340044612499993</v>
      </c>
      <c r="M210" s="14">
        <v>1.0416508529411717</v>
      </c>
      <c r="N210" s="14">
        <v>1.1061526764705827</v>
      </c>
      <c r="O210" s="14">
        <v>1.0708861388888837</v>
      </c>
      <c r="P210" s="14">
        <v>1.6631262731470611</v>
      </c>
      <c r="Q210" s="14">
        <v>1.1989792142857087</v>
      </c>
      <c r="R210" s="14">
        <v>1.1293668680555502</v>
      </c>
      <c r="S210" s="14">
        <v>1.320204847222217</v>
      </c>
      <c r="T210" s="14">
        <v>1.2064859034090847</v>
      </c>
      <c r="U210" s="14">
        <v>1.1351143157894683</v>
      </c>
      <c r="V210" s="14">
        <v>1.536078394736837</v>
      </c>
      <c r="W210" s="14">
        <v>1.1748252569444391</v>
      </c>
      <c r="X210" s="14">
        <v>1.2350884702380909</v>
      </c>
      <c r="Y210" s="14">
        <v>1.1383639305555511</v>
      </c>
      <c r="Z210" s="14">
        <v>1.6992508761535436</v>
      </c>
      <c r="AA210" s="14">
        <v>1.1994039736842053</v>
      </c>
      <c r="AB210" s="14">
        <v>1.3384379062499949</v>
      </c>
      <c r="AC210" s="14">
        <v>1.267147894736838</v>
      </c>
      <c r="AD210" s="14">
        <v>1.1017285263157848</v>
      </c>
      <c r="AE210" s="14">
        <v>1.1473722291666619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">
      <c r="A211">
        <v>0.40561599999999998</v>
      </c>
      <c r="B211">
        <v>0</v>
      </c>
      <c r="C211" s="14">
        <v>0.16817129807691655</v>
      </c>
      <c r="D211" s="14">
        <v>0.24281589583332952</v>
      </c>
      <c r="E211" s="14">
        <v>0.21896730208332915</v>
      </c>
      <c r="F211" s="14">
        <v>0.26377783653845599</v>
      </c>
      <c r="G211" s="14">
        <v>0.43586596153845658</v>
      </c>
      <c r="H211" s="14">
        <v>0.4011690288461498</v>
      </c>
      <c r="I211" s="14">
        <v>1.3473865138888825</v>
      </c>
      <c r="J211" s="14">
        <v>1.5945174940476112</v>
      </c>
      <c r="K211" s="14">
        <v>1.3417454539473617</v>
      </c>
      <c r="L211" s="14">
        <v>1.5823165374999928</v>
      </c>
      <c r="M211" s="14">
        <v>1.2554974411764654</v>
      </c>
      <c r="N211" s="14">
        <v>1.3298489705882295</v>
      </c>
      <c r="O211" s="14">
        <v>1.2955405277777725</v>
      </c>
      <c r="P211" s="14">
        <v>1.9179650046285652</v>
      </c>
      <c r="Q211" s="14">
        <v>1.4169847857142805</v>
      </c>
      <c r="R211" s="14">
        <v>1.3382595486111055</v>
      </c>
      <c r="S211" s="14">
        <v>1.5456263194444388</v>
      </c>
      <c r="T211" s="14">
        <v>1.4248042102272664</v>
      </c>
      <c r="U211" s="14">
        <v>1.3456717894736785</v>
      </c>
      <c r="V211" s="14">
        <v>1.7804552368420998</v>
      </c>
      <c r="W211" s="14">
        <v>1.3779398263888833</v>
      </c>
      <c r="X211" s="14">
        <v>1.4463380297619006</v>
      </c>
      <c r="Y211" s="14">
        <v>1.3391142361111066</v>
      </c>
      <c r="Z211" s="14">
        <v>1.9592863004753733</v>
      </c>
      <c r="AA211" s="14">
        <v>1.4187531842105212</v>
      </c>
      <c r="AB211" s="14">
        <v>1.5706614687499947</v>
      </c>
      <c r="AC211" s="14">
        <v>1.4909877368421012</v>
      </c>
      <c r="AD211" s="14">
        <v>1.3078563157894685</v>
      </c>
      <c r="AE211" s="14">
        <v>1.3647045208333286</v>
      </c>
      <c r="AF211">
        <v>0</v>
      </c>
      <c r="AG211">
        <v>1.3675931818180276E-2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2.5206590909083726E-3</v>
      </c>
      <c r="AP211">
        <v>2.3118181818015948E-4</v>
      </c>
    </row>
    <row r="212" spans="1:42" x14ac:dyDescent="0.2">
      <c r="A212">
        <v>0.41045099999999995</v>
      </c>
      <c r="B212">
        <v>0</v>
      </c>
      <c r="C212" s="14">
        <v>0.27316701354435757</v>
      </c>
      <c r="D212" s="14">
        <v>0.34263382417747712</v>
      </c>
      <c r="E212" s="14">
        <v>0.3020967273042543</v>
      </c>
      <c r="F212" s="14">
        <v>0.36181543564090113</v>
      </c>
      <c r="G212" s="14">
        <v>0.57946991304641271</v>
      </c>
      <c r="H212" s="14">
        <v>0.52915728574411069</v>
      </c>
      <c r="I212" s="14">
        <v>1.5764386747984931</v>
      </c>
      <c r="J212" s="14">
        <v>1.8463007455085465</v>
      </c>
      <c r="K212" s="14">
        <v>1.5699415494286679</v>
      </c>
      <c r="L212" s="14">
        <v>1.8263400758621511</v>
      </c>
      <c r="M212" s="14">
        <v>1.4850949252395802</v>
      </c>
      <c r="N212" s="14">
        <v>1.5592342791235871</v>
      </c>
      <c r="O212" s="14">
        <v>1.5302597366504034</v>
      </c>
      <c r="P212" s="14">
        <v>2.1776169567622761</v>
      </c>
      <c r="Q212" s="14">
        <v>1.6446157609076151</v>
      </c>
      <c r="R212" s="14">
        <v>1.5502139137827473</v>
      </c>
      <c r="S212" s="14">
        <v>1.7937973995857912</v>
      </c>
      <c r="T212" s="14">
        <v>1.6531849014281892</v>
      </c>
      <c r="U212" s="14">
        <v>1.5829178142288345</v>
      </c>
      <c r="V212" s="14">
        <v>2.0379584003929425</v>
      </c>
      <c r="W212" s="14">
        <v>1.5893670714558537</v>
      </c>
      <c r="X212" s="14">
        <v>1.6763999075846727</v>
      </c>
      <c r="Y212" s="14">
        <v>1.5547410408832085</v>
      </c>
      <c r="Z212" s="14">
        <v>2.225885856325978</v>
      </c>
      <c r="AA212" s="14">
        <v>1.6577908994881287</v>
      </c>
      <c r="AB212" s="14">
        <v>1.8221354406765364</v>
      </c>
      <c r="AC212" s="14">
        <v>1.7327650015511049</v>
      </c>
      <c r="AD212" s="14">
        <v>1.5327966351274445</v>
      </c>
      <c r="AE212" s="14">
        <v>1.5877264146071335</v>
      </c>
      <c r="AF212">
        <v>0</v>
      </c>
      <c r="AG212">
        <v>5.7796851413152606E-2</v>
      </c>
      <c r="AH212">
        <v>9.4790551137227119E-3</v>
      </c>
      <c r="AI212">
        <v>2.0016480730993713E-2</v>
      </c>
      <c r="AJ212">
        <v>1.1074446992022313E-2</v>
      </c>
      <c r="AK212">
        <v>4.7420980042334193E-4</v>
      </c>
      <c r="AL212">
        <v>7.8700889819549591E-3</v>
      </c>
      <c r="AM212">
        <v>2.1040172156651327E-2</v>
      </c>
      <c r="AN212">
        <v>0</v>
      </c>
      <c r="AO212">
        <v>2.0609537299471237E-2</v>
      </c>
      <c r="AP212">
        <v>2.8606793556785082E-2</v>
      </c>
    </row>
    <row r="213" spans="1:42" x14ac:dyDescent="0.2">
      <c r="A213">
        <v>0.41528599999999999</v>
      </c>
      <c r="B213">
        <v>0</v>
      </c>
      <c r="C213" s="14">
        <v>0.39829211755616001</v>
      </c>
      <c r="D213" s="14">
        <v>0.44770613919910485</v>
      </c>
      <c r="E213" s="14">
        <v>0.38129234857943706</v>
      </c>
      <c r="F213" s="14">
        <v>0.47560584538425088</v>
      </c>
      <c r="G213" s="14">
        <v>0.7362012776007858</v>
      </c>
      <c r="H213" s="14">
        <v>0.66327370338618508</v>
      </c>
      <c r="I213" s="14">
        <v>1.8028668021732697</v>
      </c>
      <c r="J213" s="14">
        <v>2.0950227603351794</v>
      </c>
      <c r="K213" s="14">
        <v>1.8064525430228597</v>
      </c>
      <c r="L213" s="14">
        <v>2.0703642275864671</v>
      </c>
      <c r="M213" s="14">
        <v>1.7173183051305159</v>
      </c>
      <c r="N213" s="14">
        <v>1.7978086020766555</v>
      </c>
      <c r="O213" s="14">
        <v>1.7697917655067763</v>
      </c>
      <c r="P213" s="14">
        <v>2.4350811295481938</v>
      </c>
      <c r="Q213" s="14">
        <v>1.8709351398657126</v>
      </c>
      <c r="R213" s="14">
        <v>1.7591069635704752</v>
      </c>
      <c r="S213" s="14">
        <v>2.0301570876462729</v>
      </c>
      <c r="T213" s="14">
        <v>1.8780649770118527</v>
      </c>
      <c r="U213" s="14">
        <v>1.8114133900549363</v>
      </c>
      <c r="V213" s="14">
        <v>2.2875858853893636</v>
      </c>
      <c r="W213" s="14">
        <v>1.8064829921453502</v>
      </c>
      <c r="X213" s="14">
        <v>1.9086491037064079</v>
      </c>
      <c r="Y213" s="14">
        <v>1.7734303448718562</v>
      </c>
      <c r="Z213" s="14">
        <v>2.4955465437053568</v>
      </c>
      <c r="AA213" s="14">
        <v>1.9012031195170283</v>
      </c>
      <c r="AB213" s="14">
        <v>2.0722978220296211</v>
      </c>
      <c r="AC213" s="14">
        <v>1.9749796888638489</v>
      </c>
      <c r="AD213" s="14">
        <v>1.7612374843297116</v>
      </c>
      <c r="AE213" s="14">
        <v>1.8103109104880772</v>
      </c>
      <c r="AF213">
        <v>0</v>
      </c>
      <c r="AG213">
        <v>0.12029573605764221</v>
      </c>
      <c r="AH213">
        <v>5.2300619886625155E-2</v>
      </c>
      <c r="AI213">
        <v>6.2634260374801576E-2</v>
      </c>
      <c r="AJ213">
        <v>4.7620613703341252E-2</v>
      </c>
      <c r="AK213">
        <v>2.1765629401270248E-2</v>
      </c>
      <c r="AL213">
        <v>4.5265266945865079E-2</v>
      </c>
      <c r="AM213">
        <v>7.0061698288137464E-2</v>
      </c>
      <c r="AN213">
        <v>0</v>
      </c>
      <c r="AO213">
        <v>5.7731520989323881E-2</v>
      </c>
      <c r="AP213">
        <v>8.2142562488539905E-2</v>
      </c>
    </row>
    <row r="214" spans="1:42" x14ac:dyDescent="0.2">
      <c r="A214">
        <v>0.420122</v>
      </c>
      <c r="B214">
        <v>0</v>
      </c>
      <c r="C214" s="14">
        <v>0.51813111321305438</v>
      </c>
      <c r="D214" s="14">
        <v>0.54486736080088338</v>
      </c>
      <c r="E214" s="14">
        <v>0.47707840142055113</v>
      </c>
      <c r="F214" s="14">
        <v>0.59505277000035095</v>
      </c>
      <c r="G214" s="14">
        <v>0.87540633778381682</v>
      </c>
      <c r="H214" s="14">
        <v>0.80873983507534275</v>
      </c>
      <c r="I214" s="14">
        <v>2.0349751978267179</v>
      </c>
      <c r="J214" s="14">
        <v>2.3498636682362335</v>
      </c>
      <c r="K214" s="14">
        <v>2.0438293517139687</v>
      </c>
      <c r="L214" s="14">
        <v>2.3078204724135185</v>
      </c>
      <c r="M214" s="14">
        <v>1.9482215183988851</v>
      </c>
      <c r="N214" s="14">
        <v>2.0298108096880387</v>
      </c>
      <c r="O214" s="14">
        <v>1.9992542344932127</v>
      </c>
      <c r="P214" s="14">
        <v>2.6824795371164902</v>
      </c>
      <c r="Q214" s="14">
        <v>2.0906882887057048</v>
      </c>
      <c r="R214" s="14">
        <v>1.962744536429514</v>
      </c>
      <c r="S214" s="14">
        <v>2.2560119123537161</v>
      </c>
      <c r="T214" s="14">
        <v>2.1112559775335895</v>
      </c>
      <c r="U214" s="14">
        <v>2.0425295573134736</v>
      </c>
      <c r="V214" s="14">
        <v>2.5258357988211517</v>
      </c>
      <c r="W214" s="14">
        <v>2.0078435078546386</v>
      </c>
      <c r="X214" s="14">
        <v>2.1343337534364411</v>
      </c>
      <c r="Y214" s="14">
        <v>1.980739655128134</v>
      </c>
      <c r="Z214" s="14">
        <v>2.7586451789054069</v>
      </c>
      <c r="AA214" s="14">
        <v>2.1432993015355923</v>
      </c>
      <c r="AB214" s="14">
        <v>2.3110819279703683</v>
      </c>
      <c r="AC214" s="14">
        <v>2.2088789953466685</v>
      </c>
      <c r="AD214" s="14">
        <v>1.9888000946176465</v>
      </c>
      <c r="AE214" s="14">
        <v>2.0412025895119128</v>
      </c>
      <c r="AF214">
        <v>7.2458597711242412E-3</v>
      </c>
      <c r="AG214">
        <v>0.19983290030598866</v>
      </c>
      <c r="AH214">
        <v>0.11719047102245961</v>
      </c>
      <c r="AI214">
        <v>0.12557010326155615</v>
      </c>
      <c r="AJ214">
        <v>0.10820784084210877</v>
      </c>
      <c r="AK214">
        <v>6.1840470598726327E-2</v>
      </c>
      <c r="AL214">
        <v>9.7511333054131955E-2</v>
      </c>
      <c r="AM214">
        <v>0.13546293807549437</v>
      </c>
      <c r="AN214">
        <v>1.3625418368565789E-3</v>
      </c>
      <c r="AO214">
        <v>0.11277366082885454</v>
      </c>
      <c r="AP214">
        <v>0.14352707387509001</v>
      </c>
    </row>
    <row r="215" spans="1:42" x14ac:dyDescent="0.2">
      <c r="A215">
        <v>0.42495699999999997</v>
      </c>
      <c r="B215">
        <v>0</v>
      </c>
      <c r="C215" s="14">
        <v>0.6231312172248602</v>
      </c>
      <c r="D215" s="14">
        <v>0.6543146758225129</v>
      </c>
      <c r="E215" s="14">
        <v>0.59214902269573555</v>
      </c>
      <c r="F215" s="14">
        <v>0.71103217974370247</v>
      </c>
      <c r="G215" s="14">
        <v>1.0102637023381913</v>
      </c>
      <c r="H215" s="14">
        <v>0.93935525271741849</v>
      </c>
      <c r="I215" s="14">
        <v>2.2609663252014944</v>
      </c>
      <c r="J215" s="14">
        <v>2.5959606830628665</v>
      </c>
      <c r="K215" s="14">
        <v>2.2707143453081606</v>
      </c>
      <c r="L215" s="14">
        <v>2.5395946241378353</v>
      </c>
      <c r="M215" s="14">
        <v>2.1660068982898211</v>
      </c>
      <c r="N215" s="14">
        <v>2.2609471326411072</v>
      </c>
      <c r="O215" s="14">
        <v>2.2225982633495862</v>
      </c>
      <c r="P215" s="14">
        <v>2.9250687099024146</v>
      </c>
      <c r="Q215" s="14">
        <v>2.3130686676638028</v>
      </c>
      <c r="R215" s="14">
        <v>2.1598245862172414</v>
      </c>
      <c r="S215" s="14">
        <v>2.4678716004141981</v>
      </c>
      <c r="T215" s="14">
        <v>2.3304490531172526</v>
      </c>
      <c r="U215" s="14">
        <v>2.2662131331395754</v>
      </c>
      <c r="V215" s="14">
        <v>2.7540272838175732</v>
      </c>
      <c r="W215" s="14">
        <v>2.196959428544135</v>
      </c>
      <c r="X215" s="14">
        <v>2.3499579495581759</v>
      </c>
      <c r="Y215" s="14">
        <v>2.1849919591167821</v>
      </c>
      <c r="Z215" s="14">
        <v>3.016056866295358</v>
      </c>
      <c r="AA215" s="14">
        <v>2.3705245215644921</v>
      </c>
      <c r="AB215" s="14">
        <v>2.5328073093234527</v>
      </c>
      <c r="AC215" s="14">
        <v>2.4292186826594127</v>
      </c>
      <c r="AD215" s="14">
        <v>2.2106789438199139</v>
      </c>
      <c r="AE215" s="14">
        <v>2.2637870853928561</v>
      </c>
      <c r="AF215">
        <v>3.3153916220004742E-2</v>
      </c>
      <c r="AG215">
        <v>0.31176878495047977</v>
      </c>
      <c r="AH215">
        <v>0.18976203579536377</v>
      </c>
      <c r="AI215">
        <v>0.21587488290536538</v>
      </c>
      <c r="AJ215">
        <v>0.18281700755342922</v>
      </c>
      <c r="AK215">
        <v>0.12710089019957493</v>
      </c>
      <c r="AL215">
        <v>0.1760325110180434</v>
      </c>
      <c r="AM215">
        <v>0.23151546420698188</v>
      </c>
      <c r="AN215">
        <v>2.6007662093766815E-2</v>
      </c>
      <c r="AO215">
        <v>0.18073964451870839</v>
      </c>
      <c r="AP215">
        <v>0.23971784280684627</v>
      </c>
    </row>
    <row r="216" spans="1:42" x14ac:dyDescent="0.2">
      <c r="A216">
        <v>0.42979200000000001</v>
      </c>
      <c r="B216">
        <v>0</v>
      </c>
      <c r="C216" s="14">
        <v>0.72637693269229864</v>
      </c>
      <c r="D216" s="14">
        <v>0.77163260416665969</v>
      </c>
      <c r="E216" s="14">
        <v>0.70196544791665882</v>
      </c>
      <c r="F216" s="14">
        <v>0.81300577884614533</v>
      </c>
      <c r="G216" s="14">
        <v>1.1267426538461458</v>
      </c>
      <c r="H216" s="14">
        <v>1.0463435096153786</v>
      </c>
      <c r="I216" s="14">
        <v>2.4720814861111045</v>
      </c>
      <c r="J216" s="14">
        <v>2.8210569345238019</v>
      </c>
      <c r="K216" s="14">
        <v>2.4704734407894664</v>
      </c>
      <c r="L216" s="14">
        <v>2.7547431624999934</v>
      </c>
      <c r="M216" s="14">
        <v>2.3728543823529358</v>
      </c>
      <c r="N216" s="14">
        <v>2.4579574411764651</v>
      </c>
      <c r="O216" s="14">
        <v>2.4315044722222163</v>
      </c>
      <c r="P216" s="14">
        <v>3.1519076620361384</v>
      </c>
      <c r="Q216" s="14">
        <v>2.524074642857137</v>
      </c>
      <c r="R216" s="14">
        <v>2.3494669513888833</v>
      </c>
      <c r="S216" s="14">
        <v>2.6718556805555504</v>
      </c>
      <c r="T216" s="14">
        <v>2.5492047443181756</v>
      </c>
      <c r="U216" s="14">
        <v>2.489896157894731</v>
      </c>
      <c r="V216" s="14">
        <v>2.962967447368416</v>
      </c>
      <c r="W216" s="14">
        <v>2.3641996736111057</v>
      </c>
      <c r="X216" s="14">
        <v>2.5585828273809486</v>
      </c>
      <c r="Y216" s="14">
        <v>2.3660557638888839</v>
      </c>
      <c r="Z216" s="14">
        <v>3.2507174221670594</v>
      </c>
      <c r="AA216" s="14">
        <v>2.5811242368420997</v>
      </c>
      <c r="AB216" s="14">
        <v>2.7400942812499944</v>
      </c>
      <c r="AC216" s="14">
        <v>2.6289959473684164</v>
      </c>
      <c r="AD216" s="14">
        <v>2.4124312631578895</v>
      </c>
      <c r="AE216" s="14">
        <v>2.4618709791666613</v>
      </c>
      <c r="AF216">
        <v>8.3993930555553931E-2</v>
      </c>
      <c r="AG216">
        <v>0.43638970454545101</v>
      </c>
      <c r="AH216">
        <v>0.29951751136363214</v>
      </c>
      <c r="AI216">
        <v>0.32367654545454139</v>
      </c>
      <c r="AJ216">
        <v>0.28367343181817883</v>
      </c>
      <c r="AK216">
        <v>0.21641973749999721</v>
      </c>
      <c r="AL216">
        <v>0.27379954999999745</v>
      </c>
      <c r="AM216">
        <v>0.34331382954545164</v>
      </c>
      <c r="AN216">
        <v>7.4271277777775424E-2</v>
      </c>
      <c r="AO216">
        <v>0.26882852272727042</v>
      </c>
      <c r="AP216">
        <v>0.35909345454545027</v>
      </c>
    </row>
    <row r="217" spans="1:42" x14ac:dyDescent="0.2">
      <c r="A217">
        <v>0.43462699999999999</v>
      </c>
      <c r="B217">
        <v>0</v>
      </c>
      <c r="C217" s="14">
        <v>0.82174325961537509</v>
      </c>
      <c r="D217" s="14">
        <v>0.87582114583332515</v>
      </c>
      <c r="E217" s="14">
        <v>0.78902767708332577</v>
      </c>
      <c r="F217" s="14">
        <v>0.8922265673076839</v>
      </c>
      <c r="G217" s="14">
        <v>1.2353431923076843</v>
      </c>
      <c r="H217" s="14">
        <v>1.1349546057692246</v>
      </c>
      <c r="I217" s="14">
        <v>2.6551956805555492</v>
      </c>
      <c r="J217" s="14">
        <v>3.03127742261904</v>
      </c>
      <c r="K217" s="14">
        <v>2.6641066381578882</v>
      </c>
      <c r="L217" s="14">
        <v>2.9585160874999934</v>
      </c>
      <c r="M217" s="14">
        <v>2.5665759705882301</v>
      </c>
      <c r="N217" s="14">
        <v>2.6470917352941115</v>
      </c>
      <c r="O217" s="14">
        <v>2.6334098611111059</v>
      </c>
      <c r="P217" s="14">
        <v>3.3673723935176629</v>
      </c>
      <c r="Q217" s="14">
        <v>2.7315802142857084</v>
      </c>
      <c r="R217" s="14">
        <v>2.5146096319444387</v>
      </c>
      <c r="S217" s="14">
        <v>2.8565891527777723</v>
      </c>
      <c r="T217" s="14">
        <v>2.7364600511363575</v>
      </c>
      <c r="U217" s="14">
        <v>2.6855786315789416</v>
      </c>
      <c r="V217" s="14">
        <v>3.1605312894736786</v>
      </c>
      <c r="W217" s="14">
        <v>2.52181524305555</v>
      </c>
      <c r="X217" s="14">
        <v>2.7527693869047578</v>
      </c>
      <c r="Y217" s="14">
        <v>2.5357440694444393</v>
      </c>
      <c r="Z217" s="14">
        <v>3.4670048465205117</v>
      </c>
      <c r="AA217" s="14">
        <v>2.7750984473684159</v>
      </c>
      <c r="AB217" s="14">
        <v>2.9342548437499945</v>
      </c>
      <c r="AC217" s="14">
        <v>2.8208977894736798</v>
      </c>
      <c r="AD217" s="14">
        <v>2.594060052631574</v>
      </c>
      <c r="AE217" s="14">
        <v>2.6424542708333281</v>
      </c>
      <c r="AF217">
        <v>0.14664090277777531</v>
      </c>
      <c r="AG217">
        <v>0.58244365909090501</v>
      </c>
      <c r="AH217">
        <v>0.42633189772726832</v>
      </c>
      <c r="AI217">
        <v>0.45728709090908648</v>
      </c>
      <c r="AJ217">
        <v>0.40158811363636038</v>
      </c>
      <c r="AK217">
        <v>0.31929701249999631</v>
      </c>
      <c r="AL217">
        <v>0.39518944999999706</v>
      </c>
      <c r="AM217">
        <v>0.47742203409090589</v>
      </c>
      <c r="AN217">
        <v>0.14440438888888618</v>
      </c>
      <c r="AO217">
        <v>0.37200829545454317</v>
      </c>
      <c r="AP217">
        <v>0.4968409090909045</v>
      </c>
    </row>
    <row r="218" spans="1:42" x14ac:dyDescent="0.2">
      <c r="A218">
        <v>0.43946199999999996</v>
      </c>
      <c r="B218">
        <v>0</v>
      </c>
      <c r="C218" s="14">
        <v>0.90661397508281638</v>
      </c>
      <c r="D218" s="14">
        <v>0.94676407417747388</v>
      </c>
      <c r="E218" s="14">
        <v>0.84546910230425087</v>
      </c>
      <c r="F218" s="14">
        <v>0.94957616641012832</v>
      </c>
      <c r="G218" s="14">
        <v>1.3273221438156413</v>
      </c>
      <c r="H218" s="14">
        <v>1.2121928626671861</v>
      </c>
      <c r="I218" s="14">
        <v>2.8199358414651607</v>
      </c>
      <c r="J218" s="14">
        <v>3.2178736740799767</v>
      </c>
      <c r="K218" s="14">
        <v>2.8332407336391947</v>
      </c>
      <c r="L218" s="14">
        <v>3.1369146258621514</v>
      </c>
      <c r="M218" s="14">
        <v>2.744548454651345</v>
      </c>
      <c r="N218" s="14">
        <v>2.8091020438294692</v>
      </c>
      <c r="O218" s="14">
        <v>2.8090670699837368</v>
      </c>
      <c r="P218" s="14">
        <v>3.5522113456513926</v>
      </c>
      <c r="Q218" s="14">
        <v>2.9084611894790435</v>
      </c>
      <c r="R218" s="14">
        <v>2.6543759971160803</v>
      </c>
      <c r="S218" s="14">
        <v>3.0211982329191249</v>
      </c>
      <c r="T218" s="14">
        <v>2.9053417423372809</v>
      </c>
      <c r="U218" s="14">
        <v>2.8602616563340981</v>
      </c>
      <c r="V218" s="14">
        <v>3.3370974530245214</v>
      </c>
      <c r="W218" s="14">
        <v>2.657555488122521</v>
      </c>
      <c r="X218" s="14">
        <v>2.9320812647275303</v>
      </c>
      <c r="Y218" s="14">
        <v>2.6914338742165418</v>
      </c>
      <c r="Z218" s="14">
        <v>3.6570414024013633</v>
      </c>
      <c r="AA218" s="14">
        <v>2.9471981626460235</v>
      </c>
      <c r="AB218" s="14">
        <v>3.1109178156765367</v>
      </c>
      <c r="AC218" s="14">
        <v>2.9891750541826836</v>
      </c>
      <c r="AD218" s="14">
        <v>2.7669383719695499</v>
      </c>
      <c r="AE218" s="14">
        <v>2.7994131646071336</v>
      </c>
      <c r="AF218">
        <v>0.22679291711332672</v>
      </c>
      <c r="AG218">
        <v>0.74075157868587782</v>
      </c>
      <c r="AH218">
        <v>0.57021237329553864</v>
      </c>
      <c r="AI218">
        <v>0.59702675345826384</v>
      </c>
      <c r="AJ218">
        <v>0.53613153790111134</v>
      </c>
      <c r="AK218">
        <v>0.44099085980042085</v>
      </c>
      <c r="AL218">
        <v>0.52576948898195264</v>
      </c>
      <c r="AM218">
        <v>0.61765839942937673</v>
      </c>
      <c r="AN218">
        <v>0.22241900457289665</v>
      </c>
      <c r="AO218">
        <v>0.48525217366310591</v>
      </c>
      <c r="AP218">
        <v>0.64334152082951013</v>
      </c>
    </row>
    <row r="219" spans="1:42" x14ac:dyDescent="0.2">
      <c r="A219">
        <v>0.444297</v>
      </c>
      <c r="B219">
        <v>0</v>
      </c>
      <c r="C219" s="14">
        <v>0.95736307909461971</v>
      </c>
      <c r="D219" s="14">
        <v>0.98446138919910275</v>
      </c>
      <c r="E219" s="14">
        <v>0.88441472357943329</v>
      </c>
      <c r="F219" s="14">
        <v>0.98680557615347908</v>
      </c>
      <c r="G219" s="14">
        <v>1.3913045083700144</v>
      </c>
      <c r="H219" s="14">
        <v>1.2771842803092603</v>
      </c>
      <c r="I219" s="14">
        <v>2.9584269688399365</v>
      </c>
      <c r="J219" s="14">
        <v>3.365970688906609</v>
      </c>
      <c r="K219" s="14">
        <v>2.9805017272333871</v>
      </c>
      <c r="L219" s="14">
        <v>3.2794397775864681</v>
      </c>
      <c r="M219" s="14">
        <v>2.8953978345422815</v>
      </c>
      <c r="N219" s="14">
        <v>2.9509883667825383</v>
      </c>
      <c r="O219" s="14">
        <v>2.96722309884011</v>
      </c>
      <c r="P219" s="14">
        <v>3.7038005184373293</v>
      </c>
      <c r="Q219" s="14">
        <v>3.0617185684371417</v>
      </c>
      <c r="R219" s="14">
        <v>2.7722700469038086</v>
      </c>
      <c r="S219" s="14">
        <v>3.1464329209796063</v>
      </c>
      <c r="T219" s="14">
        <v>3.0444728179209442</v>
      </c>
      <c r="U219" s="14">
        <v>3.0051962321601997</v>
      </c>
      <c r="V219" s="14">
        <v>3.4856629380209432</v>
      </c>
      <c r="W219" s="14">
        <v>2.7757964088120177</v>
      </c>
      <c r="X219" s="14">
        <v>3.083393460849265</v>
      </c>
      <c r="Y219" s="14">
        <v>2.8243731782051897</v>
      </c>
      <c r="Z219" s="14">
        <v>3.8199530898096157</v>
      </c>
      <c r="AA219" s="14">
        <v>3.0991733826749233</v>
      </c>
      <c r="AB219" s="14">
        <v>3.2604551970296214</v>
      </c>
      <c r="AC219" s="14">
        <v>3.1390787414954273</v>
      </c>
      <c r="AD219" s="14">
        <v>2.9161922211718165</v>
      </c>
      <c r="AE219" s="14">
        <v>2.9309986604880773</v>
      </c>
      <c r="AF219">
        <v>0.30519997356220507</v>
      </c>
      <c r="AG219">
        <v>0.90081246333036757</v>
      </c>
      <c r="AH219">
        <v>0.71890793806844133</v>
      </c>
      <c r="AI219">
        <v>0.74551853310207195</v>
      </c>
      <c r="AJ219">
        <v>0.67680270461243053</v>
      </c>
      <c r="AK219">
        <v>0.56881327940126791</v>
      </c>
      <c r="AL219">
        <v>0.66772666694586302</v>
      </c>
      <c r="AM219">
        <v>0.76402292556086326</v>
      </c>
      <c r="AN219">
        <v>0.30787512482980528</v>
      </c>
      <c r="AO219">
        <v>0.60899915735295895</v>
      </c>
      <c r="AP219">
        <v>0.80034528976126529</v>
      </c>
    </row>
    <row r="220" spans="1:42" x14ac:dyDescent="0.2">
      <c r="A220">
        <v>0.449133</v>
      </c>
      <c r="B220">
        <v>0</v>
      </c>
      <c r="C220" s="14">
        <v>0.97745407475151413</v>
      </c>
      <c r="D220" s="14">
        <v>0.99149861080088098</v>
      </c>
      <c r="E220" s="14">
        <v>0.90145177642054897</v>
      </c>
      <c r="F220" s="14">
        <v>1.0126285007695799</v>
      </c>
      <c r="G220" s="14">
        <v>1.4298855685530456</v>
      </c>
      <c r="H220" s="14">
        <v>1.3237764119984186</v>
      </c>
      <c r="I220" s="14">
        <v>3.0759103644933847</v>
      </c>
      <c r="J220" s="14">
        <v>3.492186596807664</v>
      </c>
      <c r="K220" s="14">
        <v>3.1006285359244954</v>
      </c>
      <c r="L220" s="14">
        <v>3.3983340224135197</v>
      </c>
      <c r="M220" s="14">
        <v>3.0103640478106497</v>
      </c>
      <c r="N220" s="14">
        <v>3.0648675743939213</v>
      </c>
      <c r="O220" s="14">
        <v>3.0824995678265461</v>
      </c>
      <c r="P220" s="14">
        <v>3.6970139260056429</v>
      </c>
      <c r="Q220" s="14">
        <v>3.1773477172771334</v>
      </c>
      <c r="R220" s="14">
        <v>2.8674076197628473</v>
      </c>
      <c r="S220" s="14">
        <v>3.2506637456870502</v>
      </c>
      <c r="T220" s="14">
        <v>3.1687268184426811</v>
      </c>
      <c r="U220" s="14">
        <v>3.1282503994187372</v>
      </c>
      <c r="V220" s="14">
        <v>3.6062258514527317</v>
      </c>
      <c r="W220" s="14">
        <v>2.8677829245213058</v>
      </c>
      <c r="X220" s="14">
        <v>3.2110791105792988</v>
      </c>
      <c r="Y220" s="14">
        <v>2.9319334884614676</v>
      </c>
      <c r="Z220" s="14">
        <v>3.6346157250370399</v>
      </c>
      <c r="AA220" s="14">
        <v>3.2248955646934876</v>
      </c>
      <c r="AB220" s="14">
        <v>3.3793643029703695</v>
      </c>
      <c r="AC220" s="14">
        <v>3.2531030479782479</v>
      </c>
      <c r="AD220" s="14">
        <v>3.0400678314597518</v>
      </c>
      <c r="AE220" s="14">
        <v>3.0459533395119127</v>
      </c>
      <c r="AF220">
        <v>0.38181769310445546</v>
      </c>
      <c r="AG220">
        <v>1.0529746275787146</v>
      </c>
      <c r="AH220">
        <v>0.87501678920427617</v>
      </c>
      <c r="AI220">
        <v>0.89573537598882691</v>
      </c>
      <c r="AJ220">
        <v>0.82488993175119818</v>
      </c>
      <c r="AK220">
        <v>0.70623112059872417</v>
      </c>
      <c r="AL220">
        <v>0.80790973305413027</v>
      </c>
      <c r="AM220">
        <v>0.91517416534821994</v>
      </c>
      <c r="AN220">
        <v>0.38891320850352074</v>
      </c>
      <c r="AO220">
        <v>0.73622929719248997</v>
      </c>
      <c r="AP220">
        <v>0.94769880114781602</v>
      </c>
    </row>
    <row r="221" spans="1:42" x14ac:dyDescent="0.2">
      <c r="A221">
        <v>0.45396799999999998</v>
      </c>
      <c r="B221">
        <v>1.3099504506834947E-3</v>
      </c>
      <c r="C221" s="14">
        <v>0.96520517876332068</v>
      </c>
      <c r="D221" s="14">
        <v>0.97494592582251194</v>
      </c>
      <c r="E221" s="14">
        <v>0.90014739769573371</v>
      </c>
      <c r="F221" s="14">
        <v>1.0104819105129321</v>
      </c>
      <c r="G221" s="14">
        <v>1.4387429331074206</v>
      </c>
      <c r="H221" s="14">
        <v>1.3397668296404959</v>
      </c>
      <c r="I221" s="14">
        <v>3.1680274918681621</v>
      </c>
      <c r="J221" s="14">
        <v>3.6009086116342965</v>
      </c>
      <c r="K221" s="14">
        <v>3.1927645295186879</v>
      </c>
      <c r="L221" s="14">
        <v>3.4901081741378359</v>
      </c>
      <c r="M221" s="14">
        <v>3.1034624277015865</v>
      </c>
      <c r="N221" s="14">
        <v>3.1507538973469904</v>
      </c>
      <c r="O221" s="14">
        <v>3.17678159668292</v>
      </c>
      <c r="P221" s="14">
        <v>3.3139800987915846</v>
      </c>
      <c r="Q221" s="14">
        <v>3.2824790962352317</v>
      </c>
      <c r="R221" s="14">
        <v>2.9371766695505759</v>
      </c>
      <c r="S221" s="14">
        <v>3.325148433747533</v>
      </c>
      <c r="T221" s="14">
        <v>3.2781078940263448</v>
      </c>
      <c r="U221" s="14">
        <v>3.23468397524484</v>
      </c>
      <c r="V221" s="14">
        <v>3.3496683364491533</v>
      </c>
      <c r="W221" s="14">
        <v>2.9291488452108032</v>
      </c>
      <c r="X221" s="14">
        <v>2.8951433067010339</v>
      </c>
      <c r="Y221" s="14">
        <v>3.0044987924501161</v>
      </c>
      <c r="Z221" s="14">
        <v>3.3267794124528551</v>
      </c>
      <c r="AA221" s="14">
        <v>3.2701207847223874</v>
      </c>
      <c r="AB221" s="14">
        <v>3.2191536843234534</v>
      </c>
      <c r="AC221" s="14">
        <v>3.0276327352909926</v>
      </c>
      <c r="AD221" s="14">
        <v>3.1359466806620198</v>
      </c>
      <c r="AE221" s="14">
        <v>3.1329128353928573</v>
      </c>
      <c r="AF221">
        <v>0.44491274955333582</v>
      </c>
      <c r="AG221">
        <v>1.2051605122232059</v>
      </c>
      <c r="AH221">
        <v>1.0158383539771809</v>
      </c>
      <c r="AI221">
        <v>1.039415155632637</v>
      </c>
      <c r="AJ221">
        <v>0.96206009846251872</v>
      </c>
      <c r="AK221">
        <v>0.82530354019957297</v>
      </c>
      <c r="AL221">
        <v>0.94067991101804216</v>
      </c>
      <c r="AM221">
        <v>1.0492886914797079</v>
      </c>
      <c r="AN221">
        <v>0.46737032876043205</v>
      </c>
      <c r="AO221">
        <v>0.85997528088234376</v>
      </c>
      <c r="AP221">
        <v>1.0933275700795724</v>
      </c>
    </row>
    <row r="222" spans="1:42" x14ac:dyDescent="0.2">
      <c r="A222">
        <v>0.45880299999999996</v>
      </c>
      <c r="B222">
        <v>1.0062145833333647E-2</v>
      </c>
      <c r="C222" s="14">
        <v>0.92495089423076227</v>
      </c>
      <c r="D222" s="14">
        <v>0.94351485416666048</v>
      </c>
      <c r="E222" s="14">
        <v>0.86908982291665993</v>
      </c>
      <c r="F222" s="14">
        <v>0.98383150961537691</v>
      </c>
      <c r="G222" s="14">
        <v>1.4187228846153781</v>
      </c>
      <c r="H222" s="14">
        <v>1.322506086538457</v>
      </c>
      <c r="I222" s="14">
        <v>3.2268926527777726</v>
      </c>
      <c r="J222" s="14">
        <v>3.6746308630952322</v>
      </c>
      <c r="K222" s="14">
        <v>3.2516496249999953</v>
      </c>
      <c r="L222" s="14">
        <v>3.5652577124999949</v>
      </c>
      <c r="M222" s="14">
        <v>3.169435911764702</v>
      </c>
      <c r="N222" s="14">
        <v>3.2025152058823485</v>
      </c>
      <c r="O222" s="14">
        <v>3.2404388055555513</v>
      </c>
      <c r="P222" s="14">
        <v>3.0831970509253246</v>
      </c>
      <c r="Q222" s="14">
        <v>3.1959860714285675</v>
      </c>
      <c r="R222" s="14">
        <v>2.9920700347222176</v>
      </c>
      <c r="S222" s="14">
        <v>3.2552585138888848</v>
      </c>
      <c r="T222" s="14">
        <v>3.1599895852272679</v>
      </c>
      <c r="U222" s="14">
        <v>3.3279929999999958</v>
      </c>
      <c r="V222" s="14">
        <v>3.0134864999999955</v>
      </c>
      <c r="W222" s="14">
        <v>2.9695150902777732</v>
      </c>
      <c r="X222" s="14">
        <v>2.5853321845238062</v>
      </c>
      <c r="Y222" s="14">
        <v>2.5695655972222182</v>
      </c>
      <c r="Z222" s="14">
        <v>2.9559439683487998</v>
      </c>
      <c r="AA222" s="14">
        <v>2.8139734999999955</v>
      </c>
      <c r="AB222" s="14">
        <v>2.8996926562499956</v>
      </c>
      <c r="AC222" s="14">
        <v>2.6779129999999962</v>
      </c>
      <c r="AD222" s="14">
        <v>2.7715779999999959</v>
      </c>
      <c r="AE222" s="14">
        <v>3.0352487291666623</v>
      </c>
      <c r="AF222">
        <v>0.50537776388888744</v>
      </c>
      <c r="AG222">
        <v>1.3372174318181789</v>
      </c>
      <c r="AH222">
        <v>1.1544688295454515</v>
      </c>
      <c r="AI222">
        <v>1.1708418181818145</v>
      </c>
      <c r="AJ222">
        <v>1.0952915227272699</v>
      </c>
      <c r="AK222">
        <v>0.93999738749999784</v>
      </c>
      <c r="AL222">
        <v>1.0686359499999978</v>
      </c>
      <c r="AM222">
        <v>1.1807750568181792</v>
      </c>
      <c r="AN222">
        <v>0.53007094444444247</v>
      </c>
      <c r="AO222">
        <v>0.97628215909090699</v>
      </c>
      <c r="AP222">
        <v>1.2275771818181784</v>
      </c>
    </row>
    <row r="223" spans="1:42" x14ac:dyDescent="0.2">
      <c r="A223">
        <v>0.46363799999999999</v>
      </c>
      <c r="B223">
        <v>1.9686604166665678E-2</v>
      </c>
      <c r="C223" s="14">
        <v>0.87069222115383749</v>
      </c>
      <c r="D223" s="14">
        <v>0.88932839583332601</v>
      </c>
      <c r="E223" s="14">
        <v>0.81615205208332409</v>
      </c>
      <c r="F223" s="14">
        <v>0.92305329807691461</v>
      </c>
      <c r="G223" s="14">
        <v>1.3916984230769138</v>
      </c>
      <c r="H223" s="14">
        <v>1.2789921826923023</v>
      </c>
      <c r="I223" s="14">
        <v>3.2603828472222167</v>
      </c>
      <c r="J223" s="14">
        <v>3.7124763511904706</v>
      </c>
      <c r="K223" s="14">
        <v>3.2869078223684163</v>
      </c>
      <c r="L223" s="14">
        <v>3.3796576374999954</v>
      </c>
      <c r="M223" s="14">
        <v>3.2109074999999963</v>
      </c>
      <c r="N223" s="14">
        <v>3.2341504999999957</v>
      </c>
      <c r="O223" s="14">
        <v>2.8832211944444399</v>
      </c>
      <c r="P223" s="14">
        <v>2.8191627824068637</v>
      </c>
      <c r="Q223" s="14">
        <v>2.8609946428571384</v>
      </c>
      <c r="R223" s="14">
        <v>2.9515877152777739</v>
      </c>
      <c r="S223" s="14">
        <v>2.9456199861111072</v>
      </c>
      <c r="T223" s="14">
        <v>2.7146228920454498</v>
      </c>
      <c r="U223" s="14">
        <v>2.8201784736842059</v>
      </c>
      <c r="V223" s="14">
        <v>2.7385533421052588</v>
      </c>
      <c r="W223" s="14">
        <v>2.5330076597222182</v>
      </c>
      <c r="X223" s="14">
        <v>2.3673957440476161</v>
      </c>
      <c r="Y223" s="14">
        <v>2.3577559027777739</v>
      </c>
      <c r="Z223" s="14">
        <v>2.5264833927248738</v>
      </c>
      <c r="AA223" s="14">
        <v>2.4505757105263122</v>
      </c>
      <c r="AB223" s="14">
        <v>2.6861062187499964</v>
      </c>
      <c r="AC223" s="14">
        <v>2.4533158421052592</v>
      </c>
      <c r="AD223" s="14">
        <v>2.4028327894736803</v>
      </c>
      <c r="AE223" s="14">
        <v>2.542085020833329</v>
      </c>
      <c r="AF223">
        <v>0.53433773611110791</v>
      </c>
      <c r="AG223">
        <v>1.4508973863636321</v>
      </c>
      <c r="AH223">
        <v>1.274720215909086</v>
      </c>
      <c r="AI223">
        <v>1.2891403636363585</v>
      </c>
      <c r="AJ223">
        <v>1.2158322045454506</v>
      </c>
      <c r="AK223">
        <v>1.043312662499996</v>
      </c>
      <c r="AL223">
        <v>1.1773378499999962</v>
      </c>
      <c r="AM223">
        <v>1.2895082613636317</v>
      </c>
      <c r="AN223">
        <v>0.56739205555555117</v>
      </c>
      <c r="AO223">
        <v>1.0851499318181785</v>
      </c>
      <c r="AP223">
        <v>1.3381996363636315</v>
      </c>
    </row>
    <row r="224" spans="1:42" x14ac:dyDescent="0.2">
      <c r="A224">
        <v>0.46847299999999997</v>
      </c>
      <c r="B224">
        <v>3.3689799549316168E-2</v>
      </c>
      <c r="C224" s="14">
        <v>0.80943793662127916</v>
      </c>
      <c r="D224" s="14">
        <v>0.82289632417747427</v>
      </c>
      <c r="E224" s="14">
        <v>0.75009447730425105</v>
      </c>
      <c r="F224" s="14">
        <v>0.84827889717936067</v>
      </c>
      <c r="G224" s="14">
        <v>1.3349283745848721</v>
      </c>
      <c r="H224" s="14">
        <v>1.2381054395902633</v>
      </c>
      <c r="I224" s="14">
        <v>3.281624008131828</v>
      </c>
      <c r="J224" s="14">
        <v>3.4047006026514071</v>
      </c>
      <c r="K224" s="14">
        <v>3.0894189178497227</v>
      </c>
      <c r="L224" s="14">
        <v>2.8493091758621536</v>
      </c>
      <c r="M224" s="14">
        <v>2.8481329840631107</v>
      </c>
      <c r="N224" s="14">
        <v>2.8282878085353529</v>
      </c>
      <c r="O224" s="14">
        <v>2.5881304033170718</v>
      </c>
      <c r="P224" s="14">
        <v>2.4405037345406075</v>
      </c>
      <c r="Q224" s="14">
        <v>2.4096276180504734</v>
      </c>
      <c r="R224" s="14">
        <v>2.4228580804494158</v>
      </c>
      <c r="S224" s="14">
        <v>2.5651060662524596</v>
      </c>
      <c r="T224" s="14">
        <v>2.2543815832463729</v>
      </c>
      <c r="U224" s="14">
        <v>2.3246144984393626</v>
      </c>
      <c r="V224" s="14">
        <v>2.4146215056561018</v>
      </c>
      <c r="W224" s="14">
        <v>2.2461249047891889</v>
      </c>
      <c r="X224" s="14">
        <v>2.0987106218703886</v>
      </c>
      <c r="Y224" s="14">
        <v>2.1170717075498762</v>
      </c>
      <c r="Z224" s="14">
        <v>2.1565219486266232</v>
      </c>
      <c r="AA224" s="14">
        <v>2.1974274258039195</v>
      </c>
      <c r="AB224" s="14">
        <v>2.3946451906765382</v>
      </c>
      <c r="AC224" s="14">
        <v>2.1989701068142637</v>
      </c>
      <c r="AD224" s="14">
        <v>2.1399631088116564</v>
      </c>
      <c r="AE224" s="14">
        <v>2.1469219146071348</v>
      </c>
      <c r="AF224">
        <v>0.55367675044665976</v>
      </c>
      <c r="AG224">
        <v>1.5479553059586051</v>
      </c>
      <c r="AH224">
        <v>1.380975691477357</v>
      </c>
      <c r="AI224">
        <v>1.3855670261855364</v>
      </c>
      <c r="AJ224">
        <v>1.317125628810202</v>
      </c>
      <c r="AK224">
        <v>1.1282565098004209</v>
      </c>
      <c r="AL224">
        <v>1.2755418889819525</v>
      </c>
      <c r="AM224">
        <v>1.3754946267021038</v>
      </c>
      <c r="AN224">
        <v>0.58984367123956272</v>
      </c>
      <c r="AO224">
        <v>1.1795818100267419</v>
      </c>
      <c r="AP224">
        <v>1.4427012481022379</v>
      </c>
    </row>
    <row r="225" spans="1:42" x14ac:dyDescent="0.2">
      <c r="A225">
        <v>0.47330799999999995</v>
      </c>
      <c r="B225">
        <v>4.9445731981283325E-2</v>
      </c>
      <c r="C225" s="14">
        <v>0.73068904063308526</v>
      </c>
      <c r="D225" s="14">
        <v>0.73546963919910624</v>
      </c>
      <c r="E225" s="14">
        <v>0.66304009857943669</v>
      </c>
      <c r="F225" s="14">
        <v>0.76738330692271273</v>
      </c>
      <c r="G225" s="14">
        <v>1.2781607391392473</v>
      </c>
      <c r="H225" s="14">
        <v>1.179722857232341</v>
      </c>
      <c r="I225" s="14">
        <v>2.7629931355066053</v>
      </c>
      <c r="J225" s="14">
        <v>2.7206766174780403</v>
      </c>
      <c r="K225" s="14">
        <v>2.6460569114439156</v>
      </c>
      <c r="L225" s="14">
        <v>2.2699613275864707</v>
      </c>
      <c r="M225" s="14">
        <v>2.3794843639540471</v>
      </c>
      <c r="N225" s="14">
        <v>2.4653011314884226</v>
      </c>
      <c r="O225" s="14">
        <v>2.2029144321734453</v>
      </c>
      <c r="P225" s="14">
        <v>1.9533469073265568</v>
      </c>
      <c r="Q225" s="14">
        <v>1.9215119970085721</v>
      </c>
      <c r="R225" s="14">
        <v>1.9965041302371442</v>
      </c>
      <c r="S225" s="14">
        <v>2.0673447543129422</v>
      </c>
      <c r="T225" s="14">
        <v>1.8877656588300373</v>
      </c>
      <c r="U225" s="14">
        <v>1.9454260742654652</v>
      </c>
      <c r="V225" s="14">
        <v>2.0058139906525243</v>
      </c>
      <c r="W225" s="14">
        <v>1.9251178254786863</v>
      </c>
      <c r="X225" s="14">
        <v>1.7556498179921241</v>
      </c>
      <c r="Y225" s="14">
        <v>1.7862630115385247</v>
      </c>
      <c r="Z225" s="14">
        <v>1.8731856360540489</v>
      </c>
      <c r="AA225" s="14">
        <v>1.9267796458328199</v>
      </c>
      <c r="AB225" s="14">
        <v>1.9684355720296232</v>
      </c>
      <c r="AC225" s="14">
        <v>1.8527507941270085</v>
      </c>
      <c r="AD225" s="14">
        <v>1.8709689580139244</v>
      </c>
      <c r="AE225" s="14">
        <v>1.8847584104880792</v>
      </c>
      <c r="AF225">
        <v>0.5563978068955393</v>
      </c>
      <c r="AG225">
        <v>1.621392190603097</v>
      </c>
      <c r="AH225">
        <v>1.4688592562502616</v>
      </c>
      <c r="AI225">
        <v>1.467121805829346</v>
      </c>
      <c r="AJ225">
        <v>1.4070467955215231</v>
      </c>
      <c r="AK225">
        <v>1.1965789294012703</v>
      </c>
      <c r="AL225">
        <v>1.348376066945864</v>
      </c>
      <c r="AM225">
        <v>1.4466091528335911</v>
      </c>
      <c r="AN225">
        <v>0.58780179149647349</v>
      </c>
      <c r="AO225">
        <v>1.2626407937165962</v>
      </c>
      <c r="AP225">
        <v>1.5165790170339948</v>
      </c>
    </row>
    <row r="226" spans="1:42" x14ac:dyDescent="0.2">
      <c r="A226">
        <v>0.47814399999999996</v>
      </c>
      <c r="B226">
        <v>6.5615768018716825E-2</v>
      </c>
      <c r="C226" s="14">
        <v>0.63440503628998091</v>
      </c>
      <c r="D226" s="14">
        <v>0.63400786080088523</v>
      </c>
      <c r="E226" s="14">
        <v>0.58295315142055237</v>
      </c>
      <c r="F226" s="14">
        <v>0.67245623153881429</v>
      </c>
      <c r="G226" s="14">
        <v>1.1933667993222787</v>
      </c>
      <c r="H226" s="14">
        <v>1.1230649889214988</v>
      </c>
      <c r="I226" s="14">
        <v>2.3546045311600534</v>
      </c>
      <c r="J226" s="14">
        <v>2.1643955253790956</v>
      </c>
      <c r="K226" s="14">
        <v>2.2140627201350247</v>
      </c>
      <c r="L226" s="14">
        <v>1.8034835724135228</v>
      </c>
      <c r="M226" s="14">
        <v>1.8565785772224175</v>
      </c>
      <c r="N226" s="14">
        <v>2.1250573390998064</v>
      </c>
      <c r="O226" s="14">
        <v>1.6785679011598822</v>
      </c>
      <c r="P226" s="14">
        <v>1.5379363148948824</v>
      </c>
      <c r="Q226" s="14">
        <v>1.5392681458485644</v>
      </c>
      <c r="R226" s="14">
        <v>1.6891437030961836</v>
      </c>
      <c r="S226" s="14">
        <v>1.6002015790203863</v>
      </c>
      <c r="T226" s="14">
        <v>1.6506456593517744</v>
      </c>
      <c r="U226" s="14">
        <v>1.7228572415240027</v>
      </c>
      <c r="V226" s="14">
        <v>1.5812549040843122</v>
      </c>
      <c r="W226" s="14">
        <v>1.5279813411879746</v>
      </c>
      <c r="X226" s="14">
        <v>1.3609624677221572</v>
      </c>
      <c r="Y226" s="14">
        <v>1.3539513217948029</v>
      </c>
      <c r="Z226" s="14">
        <v>1.6502232712988387</v>
      </c>
      <c r="AA226" s="14">
        <v>1.5835028278513847</v>
      </c>
      <c r="AB226" s="14">
        <v>1.5124726779703714</v>
      </c>
      <c r="AC226" s="14">
        <v>1.4260281006098283</v>
      </c>
      <c r="AD226" s="14">
        <v>1.5512205683018596</v>
      </c>
      <c r="AE226" s="14">
        <v>1.665465089511915</v>
      </c>
      <c r="AF226">
        <v>0.53195252643779067</v>
      </c>
      <c r="AG226">
        <v>1.6711793548514433</v>
      </c>
      <c r="AH226">
        <v>1.5295941073860968</v>
      </c>
      <c r="AI226">
        <v>1.5206526487161018</v>
      </c>
      <c r="AJ226">
        <v>1.4698220226602912</v>
      </c>
      <c r="AK226">
        <v>1.2403737705987261</v>
      </c>
      <c r="AL226">
        <v>1.4045591330541325</v>
      </c>
      <c r="AM226">
        <v>1.4958233926209497</v>
      </c>
      <c r="AN226">
        <v>0.56996387517019009</v>
      </c>
      <c r="AO226">
        <v>1.3238079335561275</v>
      </c>
      <c r="AP226">
        <v>1.5738085284205461</v>
      </c>
    </row>
    <row r="227" spans="1:42" x14ac:dyDescent="0.2">
      <c r="A227">
        <v>0.48297899999999999</v>
      </c>
      <c r="B227">
        <v>7.3934700450683621E-2</v>
      </c>
      <c r="C227" s="14">
        <v>0.52940514030178498</v>
      </c>
      <c r="D227" s="14">
        <v>0.52558017582251448</v>
      </c>
      <c r="E227" s="14">
        <v>0.49239977269573654</v>
      </c>
      <c r="F227" s="14">
        <v>0.57231064128216591</v>
      </c>
      <c r="G227" s="14">
        <v>1.1015991638766538</v>
      </c>
      <c r="H227" s="14">
        <v>1.0401824065635745</v>
      </c>
      <c r="I227" s="14">
        <v>1.9742226585348304</v>
      </c>
      <c r="J227" s="14">
        <v>1.7551205402057284</v>
      </c>
      <c r="K227" s="14">
        <v>1.7269507137292166</v>
      </c>
      <c r="L227" s="14">
        <v>1.5023847241378394</v>
      </c>
      <c r="M227" s="14">
        <v>1.3853039571133534</v>
      </c>
      <c r="N227" s="14">
        <v>1.7051966620528747</v>
      </c>
      <c r="O227" s="14">
        <v>1.1734779300162557</v>
      </c>
      <c r="P227" s="14">
        <v>1.2485284876808338</v>
      </c>
      <c r="Q227" s="14">
        <v>1.3171515248066628</v>
      </c>
      <c r="R227" s="14">
        <v>1.4631637528839114</v>
      </c>
      <c r="S227" s="14">
        <v>1.237189267080868</v>
      </c>
      <c r="T227" s="14">
        <v>1.4424027349354382</v>
      </c>
      <c r="U227" s="14">
        <v>1.5072918173501049</v>
      </c>
      <c r="V227" s="14">
        <v>1.2345733890807347</v>
      </c>
      <c r="W227" s="14">
        <v>1.1326002618774713</v>
      </c>
      <c r="X227" s="14">
        <v>1.0310266638438925</v>
      </c>
      <c r="Y227" s="14">
        <v>0.97851762578345158</v>
      </c>
      <c r="Z227" s="14">
        <v>1.3721379587302054</v>
      </c>
      <c r="AA227" s="14">
        <v>1.1614810478802848</v>
      </c>
      <c r="AB227" s="14">
        <v>1.154513059323456</v>
      </c>
      <c r="AC227" s="14">
        <v>1.054432787922573</v>
      </c>
      <c r="AD227" s="14">
        <v>1.1536024175041273</v>
      </c>
      <c r="AE227" s="14">
        <v>1.375301585392859</v>
      </c>
      <c r="AF227">
        <v>0.47954858288666991</v>
      </c>
      <c r="AG227">
        <v>1.7052402394959341</v>
      </c>
      <c r="AH227">
        <v>1.5781026721590008</v>
      </c>
      <c r="AI227">
        <v>1.5523314283599108</v>
      </c>
      <c r="AJ227">
        <v>1.5133681893716111</v>
      </c>
      <c r="AK227">
        <v>1.2623211901995743</v>
      </c>
      <c r="AL227">
        <v>1.437142311018043</v>
      </c>
      <c r="AM227">
        <v>1.5196879187524357</v>
      </c>
      <c r="AN227">
        <v>0.52067199542709908</v>
      </c>
      <c r="AO227">
        <v>1.3701179172459805</v>
      </c>
      <c r="AP227">
        <v>1.6039372973523021</v>
      </c>
    </row>
    <row r="228" spans="1:42" x14ac:dyDescent="0.2">
      <c r="A228">
        <v>0.48781399999999997</v>
      </c>
      <c r="B228">
        <v>7.8311895833333534E-2</v>
      </c>
      <c r="C228" s="14">
        <v>0.413901855769228</v>
      </c>
      <c r="D228" s="14">
        <v>0.42239910416666415</v>
      </c>
      <c r="E228" s="14">
        <v>0.39309219791666372</v>
      </c>
      <c r="F228" s="14">
        <v>0.45466124038461242</v>
      </c>
      <c r="G228" s="14">
        <v>0.99583011538461186</v>
      </c>
      <c r="H228" s="14">
        <v>0.94767066346153683</v>
      </c>
      <c r="I228" s="14">
        <v>1.4923408194444421</v>
      </c>
      <c r="J228" s="14">
        <v>1.4420937916666645</v>
      </c>
      <c r="K228" s="14">
        <v>1.1619628092105239</v>
      </c>
      <c r="L228" s="14">
        <v>1.2817852624999979</v>
      </c>
      <c r="M228" s="14">
        <v>1.0094044411764691</v>
      </c>
      <c r="N228" s="14">
        <v>1.1680849705882332</v>
      </c>
      <c r="O228" s="14">
        <v>0.78563713888888742</v>
      </c>
      <c r="P228" s="14">
        <v>1.0781184398145831</v>
      </c>
      <c r="Q228" s="14">
        <v>1.1414094999999982</v>
      </c>
      <c r="R228" s="14">
        <v>1.173308118055554</v>
      </c>
      <c r="S228" s="14">
        <v>1.0308003472222205</v>
      </c>
      <c r="T228" s="14">
        <v>1.1615364261363617</v>
      </c>
      <c r="U228" s="14">
        <v>1.1954778421052614</v>
      </c>
      <c r="V228" s="14">
        <v>0.98239055263157726</v>
      </c>
      <c r="W228" s="14">
        <v>0.79759250694444273</v>
      </c>
      <c r="X228" s="14">
        <v>0.79384054166666518</v>
      </c>
      <c r="Y228" s="14">
        <v>0.71070843055555377</v>
      </c>
      <c r="Z228" s="14">
        <v>1.00742651463982</v>
      </c>
      <c r="AA228" s="14">
        <v>0.78845876315789298</v>
      </c>
      <c r="AB228" s="14">
        <v>0.94967703124999825</v>
      </c>
      <c r="AC228" s="14">
        <v>0.78346205263157764</v>
      </c>
      <c r="AD228" s="14">
        <v>0.78660873684210353</v>
      </c>
      <c r="AE228" s="14">
        <v>0.97313847916666463</v>
      </c>
      <c r="AF228">
        <v>0.41488859722222138</v>
      </c>
      <c r="AG228">
        <v>1.5590491590909075</v>
      </c>
      <c r="AH228">
        <v>1.5706091477272714</v>
      </c>
      <c r="AI228">
        <v>1.5796340909090891</v>
      </c>
      <c r="AJ228">
        <v>1.4431616136363621</v>
      </c>
      <c r="AK228">
        <v>1.2632650374999992</v>
      </c>
      <c r="AL228">
        <v>1.4548483499999989</v>
      </c>
      <c r="AM228">
        <v>1.4954252840909072</v>
      </c>
      <c r="AN228">
        <v>0.45124961111110995</v>
      </c>
      <c r="AO228">
        <v>1.1714267954545439</v>
      </c>
      <c r="AP228">
        <v>1.5990639090909076</v>
      </c>
    </row>
    <row r="229" spans="1:42" x14ac:dyDescent="0.2">
      <c r="A229">
        <v>0.492649</v>
      </c>
      <c r="B229">
        <v>7.6562354166665791E-2</v>
      </c>
      <c r="C229" s="14">
        <v>0.30539418269230278</v>
      </c>
      <c r="D229" s="14">
        <v>0.30696364583332958</v>
      </c>
      <c r="E229" s="14">
        <v>0.29378042708332952</v>
      </c>
      <c r="F229" s="14">
        <v>0.32650802884615082</v>
      </c>
      <c r="G229" s="14">
        <v>0.88830565384614957</v>
      </c>
      <c r="H229" s="14">
        <v>0.84640675961538214</v>
      </c>
      <c r="I229" s="14">
        <v>0.93170901388888661</v>
      </c>
      <c r="J229" s="14">
        <v>1.053817279761903</v>
      </c>
      <c r="K229" s="14">
        <v>0.66872400657894548</v>
      </c>
      <c r="L229" s="14">
        <v>0.97193618749999811</v>
      </c>
      <c r="M229" s="14">
        <v>0.721004029411763</v>
      </c>
      <c r="N229" s="14">
        <v>0.66684726470588052</v>
      </c>
      <c r="O229" s="14">
        <v>0.57104452777777648</v>
      </c>
      <c r="P229" s="14">
        <v>0.82983417129613035</v>
      </c>
      <c r="Q229" s="14">
        <v>0.87204207142857015</v>
      </c>
      <c r="R229" s="14">
        <v>0.79332779861110958</v>
      </c>
      <c r="S229" s="14">
        <v>0.79728581944444321</v>
      </c>
      <c r="T229" s="14">
        <v>0.75816973295454382</v>
      </c>
      <c r="U229" s="14">
        <v>0.74366331578947231</v>
      </c>
      <c r="V229" s="14">
        <v>0.73020739473684082</v>
      </c>
      <c r="W229" s="14">
        <v>0.55620907638888717</v>
      </c>
      <c r="X229" s="14">
        <v>0.60215410119047497</v>
      </c>
      <c r="Y229" s="14">
        <v>0.54964873611110954</v>
      </c>
      <c r="Z229" s="14">
        <v>0.59896593902768291</v>
      </c>
      <c r="AA229" s="14">
        <v>0.49593497368420891</v>
      </c>
      <c r="AB229" s="14">
        <v>0.75008959374999851</v>
      </c>
      <c r="AC229" s="14">
        <v>0.59824089473684094</v>
      </c>
      <c r="AD229" s="14">
        <v>0.4904885263157881</v>
      </c>
      <c r="AE229" s="14">
        <v>0.56047377083333205</v>
      </c>
      <c r="AF229">
        <v>0.32222356944444197</v>
      </c>
      <c r="AG229">
        <v>1.037482113636361</v>
      </c>
      <c r="AH229">
        <v>1.0494885340909073</v>
      </c>
      <c r="AI229">
        <v>1.0495606363636334</v>
      </c>
      <c r="AJ229">
        <v>0.96258029545454349</v>
      </c>
      <c r="AK229">
        <v>1.1583313124999974</v>
      </c>
      <c r="AL229">
        <v>1.0639262499999984</v>
      </c>
      <c r="AM229">
        <v>1.0791614886363616</v>
      </c>
      <c r="AN229">
        <v>0.35557072222221997</v>
      </c>
      <c r="AO229">
        <v>0.77323356818181654</v>
      </c>
      <c r="AP229">
        <v>1.0639393636363614</v>
      </c>
    </row>
    <row r="230" spans="1:42" x14ac:dyDescent="0.2">
      <c r="A230">
        <v>0.49748399999999998</v>
      </c>
      <c r="B230">
        <v>4.7979055555554595E-2</v>
      </c>
      <c r="C230" s="14">
        <v>0.16334256410256121</v>
      </c>
      <c r="D230" s="14">
        <v>0.17024727777777482</v>
      </c>
      <c r="E230" s="14">
        <v>0.14991569444444242</v>
      </c>
      <c r="F230" s="14">
        <v>0.17203761538461393</v>
      </c>
      <c r="G230" s="14">
        <v>0.77277828205127896</v>
      </c>
      <c r="H230" s="14">
        <v>0.59351653846153685</v>
      </c>
      <c r="I230" s="14">
        <v>0.41209540740740591</v>
      </c>
      <c r="J230" s="14">
        <v>0.55736934920634829</v>
      </c>
      <c r="K230" s="14">
        <v>0.28607007017543751</v>
      </c>
      <c r="L230" s="14">
        <v>0.51113276666666541</v>
      </c>
      <c r="M230" s="14">
        <v>0.39357721568627335</v>
      </c>
      <c r="N230" s="14">
        <v>0.26669360784313634</v>
      </c>
      <c r="O230" s="14">
        <v>0.34329048148148056</v>
      </c>
      <c r="P230" s="14">
        <v>0.46462835802460245</v>
      </c>
      <c r="Q230" s="14">
        <v>0.44782257142857063</v>
      </c>
      <c r="R230" s="14">
        <v>0.36343275925925855</v>
      </c>
      <c r="S230" s="14">
        <v>0.46885203703703615</v>
      </c>
      <c r="T230" s="14">
        <v>0.34357392424242339</v>
      </c>
      <c r="U230" s="14">
        <v>0.31717003508771846</v>
      </c>
      <c r="V230" s="14">
        <v>0.41207687719298192</v>
      </c>
      <c r="W230" s="14">
        <v>0.30871990740740651</v>
      </c>
      <c r="X230" s="14">
        <v>0.34454058730158654</v>
      </c>
      <c r="Y230" s="14">
        <v>0.32937059259259183</v>
      </c>
      <c r="Z230" s="14">
        <v>0.25878243414774293</v>
      </c>
      <c r="AA230" s="14">
        <v>0.27803205263157826</v>
      </c>
      <c r="AB230" s="14">
        <v>0.44548858333333263</v>
      </c>
      <c r="AC230" s="14">
        <v>0.35079521052631524</v>
      </c>
      <c r="AD230" s="14">
        <v>0.26357728070175379</v>
      </c>
      <c r="AE230" s="14">
        <v>0.21655327777777678</v>
      </c>
      <c r="AF230">
        <v>0.18480303703703527</v>
      </c>
      <c r="AG230">
        <v>0.52042339393939185</v>
      </c>
      <c r="AH230">
        <v>0.5268278181818169</v>
      </c>
      <c r="AI230">
        <v>0.52914127272727152</v>
      </c>
      <c r="AJ230">
        <v>0.48094342424242287</v>
      </c>
      <c r="AK230">
        <v>0.57799396666666514</v>
      </c>
      <c r="AL230">
        <v>0.53464413333333161</v>
      </c>
      <c r="AM230">
        <v>0.52964406060605906</v>
      </c>
      <c r="AN230">
        <v>0.20165385185184981</v>
      </c>
      <c r="AO230">
        <v>0.38334230303030203</v>
      </c>
      <c r="AP230">
        <v>0.53558439393939317</v>
      </c>
    </row>
    <row r="231" spans="1:42" x14ac:dyDescent="0.2">
      <c r="A231">
        <v>0.50231899999999996</v>
      </c>
      <c r="B231">
        <v>0</v>
      </c>
      <c r="C231" s="14">
        <v>0</v>
      </c>
      <c r="D231" s="14">
        <v>0</v>
      </c>
      <c r="E231" s="14">
        <v>0</v>
      </c>
      <c r="F231" s="14">
        <v>0</v>
      </c>
      <c r="G231" s="14">
        <v>0</v>
      </c>
      <c r="H231" s="14">
        <v>0</v>
      </c>
      <c r="I231" s="14">
        <v>0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14">
        <v>0</v>
      </c>
      <c r="AD231" s="14">
        <v>0</v>
      </c>
      <c r="AE231" s="14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</sheetData>
  <mergeCells count="13">
    <mergeCell ref="AI1:AK1"/>
    <mergeCell ref="AL1:AP1"/>
    <mergeCell ref="O1:Q1"/>
    <mergeCell ref="A1:B1"/>
    <mergeCell ref="C1:E1"/>
    <mergeCell ref="F1:H1"/>
    <mergeCell ref="I1:K1"/>
    <mergeCell ref="L1:N1"/>
    <mergeCell ref="U1:W1"/>
    <mergeCell ref="R1:T1"/>
    <mergeCell ref="Z1:AB1"/>
    <mergeCell ref="X1:Y1"/>
    <mergeCell ref="AC1:AH1"/>
  </mergeCells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Andrei Dumitras</cp:lastModifiedBy>
  <dcterms:created xsi:type="dcterms:W3CDTF">2015-06-05T18:17:20Z</dcterms:created>
  <dcterms:modified xsi:type="dcterms:W3CDTF">2026-04-26T14:19:58Z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2026-03-23T20:25:57Z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a0546239-990f-41a0-99cd-df9594900a61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50, 3, 0, 1</vt:lpwstr>
  </property>
</Properties>
</file>