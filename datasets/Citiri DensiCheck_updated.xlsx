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STUFF\PhD\ElectroChemial-AI\"/>
    </mc:Choice>
  </mc:AlternateContent>
  <xr:revisionPtr revIDLastSave="0" documentId="13_ncr:1_{9DB885BB-DDEA-4367-8724-E7978C6CD77A}" xr6:coauthVersionLast="47" xr6:coauthVersionMax="47" xr10:uidLastSave="{00000000-0000-0000-0000-000000000000}"/>
  <bookViews>
    <workbookView xWindow="3840" yWindow="-17323" windowWidth="22217" windowHeight="13054" xr2:uid="{00000000-000D-0000-FFFF-FFFF00000000}"/>
  </bookViews>
  <sheets>
    <sheet name="DensiCheck_culturi" sheetId="2" r:id="rId1"/>
    <sheet name="DensiCheck_A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H20" i="3"/>
  <c r="I12" i="3"/>
  <c r="H12" i="3"/>
  <c r="I4" i="3"/>
  <c r="H4" i="3"/>
  <c r="H5" i="2"/>
  <c r="AB24" i="3"/>
  <c r="AB22" i="3"/>
  <c r="AB21" i="3"/>
  <c r="AB16" i="3"/>
  <c r="AB15" i="3"/>
  <c r="AB14" i="3"/>
  <c r="AB13" i="3"/>
  <c r="AB7" i="3"/>
  <c r="AB6" i="3"/>
  <c r="AB5" i="3"/>
  <c r="I5" i="2"/>
  <c r="I4" i="2"/>
  <c r="H4" i="2"/>
  <c r="I3" i="2"/>
  <c r="H3" i="2"/>
  <c r="R21" i="3"/>
  <c r="R13" i="3"/>
  <c r="AC24" i="3"/>
  <c r="AC23" i="3"/>
  <c r="AB23" i="3"/>
  <c r="AC22" i="3"/>
  <c r="AC21" i="3"/>
  <c r="AC16" i="3"/>
  <c r="AC15" i="3"/>
  <c r="AC14" i="3"/>
  <c r="AC13" i="3"/>
  <c r="AC8" i="3"/>
  <c r="AB8" i="3"/>
  <c r="AC7" i="3"/>
  <c r="AC6" i="3"/>
  <c r="AC5" i="3"/>
  <c r="S24" i="3"/>
  <c r="R24" i="3"/>
  <c r="S23" i="3"/>
  <c r="R23" i="3"/>
  <c r="S22" i="3"/>
  <c r="R22" i="3"/>
  <c r="S21" i="3"/>
  <c r="S6" i="3"/>
  <c r="S7" i="3"/>
  <c r="S8" i="3"/>
  <c r="R6" i="3"/>
  <c r="R7" i="3"/>
  <c r="R8" i="3"/>
  <c r="S5" i="3"/>
  <c r="R5" i="3"/>
  <c r="S16" i="3"/>
  <c r="R16" i="3"/>
  <c r="S15" i="3"/>
  <c r="R15" i="3"/>
  <c r="S14" i="3"/>
  <c r="R14" i="3"/>
  <c r="S13" i="3"/>
  <c r="H24" i="3"/>
  <c r="H23" i="3"/>
  <c r="H22" i="3"/>
  <c r="H21" i="3"/>
  <c r="H16" i="3"/>
  <c r="H15" i="3"/>
  <c r="H14" i="3"/>
  <c r="H8" i="3"/>
  <c r="H7" i="3"/>
  <c r="I24" i="3"/>
  <c r="I23" i="3"/>
  <c r="I22" i="3"/>
  <c r="I21" i="3"/>
  <c r="I16" i="3"/>
  <c r="I15" i="3"/>
  <c r="I14" i="3"/>
  <c r="I13" i="3"/>
  <c r="H13" i="3"/>
  <c r="I8" i="3"/>
  <c r="I7" i="3"/>
  <c r="I6" i="3"/>
  <c r="H6" i="3"/>
  <c r="I5" i="3"/>
  <c r="H5" i="3"/>
  <c r="AA29" i="2"/>
  <c r="AA30" i="2"/>
  <c r="AA31" i="2"/>
  <c r="AA32" i="2"/>
  <c r="AA33" i="2"/>
  <c r="AA28" i="2"/>
  <c r="Z29" i="2"/>
  <c r="Z30" i="2"/>
  <c r="Z31" i="2"/>
  <c r="Z32" i="2"/>
  <c r="Z33" i="2"/>
  <c r="Z28" i="2"/>
  <c r="R29" i="2"/>
  <c r="R30" i="2"/>
  <c r="R31" i="2"/>
  <c r="R32" i="2"/>
  <c r="R33" i="2"/>
  <c r="R28" i="2"/>
  <c r="Q29" i="2"/>
  <c r="Q30" i="2"/>
  <c r="Q31" i="2"/>
  <c r="Q32" i="2"/>
  <c r="Q33" i="2"/>
  <c r="Q28" i="2"/>
  <c r="I29" i="2"/>
  <c r="I30" i="2"/>
  <c r="I31" i="2"/>
  <c r="I32" i="2"/>
  <c r="I33" i="2"/>
  <c r="I28" i="2"/>
  <c r="H29" i="2"/>
  <c r="H30" i="2"/>
  <c r="H31" i="2"/>
  <c r="H32" i="2"/>
  <c r="H33" i="2"/>
  <c r="H28" i="2"/>
  <c r="R18" i="2"/>
  <c r="R19" i="2"/>
  <c r="R20" i="2"/>
  <c r="R21" i="2"/>
  <c r="R22" i="2"/>
  <c r="R23" i="2"/>
  <c r="R24" i="2"/>
  <c r="R17" i="2"/>
  <c r="Q18" i="2"/>
  <c r="Q19" i="2"/>
  <c r="Q20" i="2"/>
  <c r="Q21" i="2"/>
  <c r="Q22" i="2"/>
  <c r="Q23" i="2"/>
  <c r="Q24" i="2"/>
  <c r="Q17" i="2"/>
  <c r="I18" i="2"/>
  <c r="I19" i="2"/>
  <c r="I20" i="2"/>
  <c r="I21" i="2"/>
  <c r="I22" i="2"/>
  <c r="I23" i="2"/>
  <c r="I24" i="2"/>
  <c r="I17" i="2"/>
  <c r="H18" i="2"/>
  <c r="H19" i="2"/>
  <c r="H20" i="2"/>
  <c r="H21" i="2"/>
  <c r="H22" i="2"/>
  <c r="H23" i="2"/>
  <c r="H24" i="2"/>
  <c r="H17" i="2"/>
  <c r="R10" i="2"/>
  <c r="R11" i="2"/>
  <c r="R12" i="2"/>
  <c r="R13" i="2"/>
  <c r="R14" i="2"/>
  <c r="R9" i="2"/>
  <c r="Q10" i="2"/>
  <c r="Q11" i="2"/>
  <c r="Q12" i="2"/>
  <c r="Q13" i="2"/>
  <c r="Q14" i="2"/>
  <c r="Q9" i="2"/>
  <c r="I10" i="2"/>
  <c r="I11" i="2"/>
  <c r="I12" i="2"/>
  <c r="I13" i="2"/>
  <c r="I14" i="2"/>
  <c r="I9" i="2"/>
  <c r="H10" i="2"/>
  <c r="H11" i="2"/>
  <c r="H12" i="2"/>
  <c r="H13" i="2"/>
  <c r="H14" i="2"/>
  <c r="H9" i="2"/>
</calcChain>
</file>

<file path=xl/sharedStrings.xml><?xml version="1.0" encoding="utf-8"?>
<sst xmlns="http://schemas.openxmlformats.org/spreadsheetml/2006/main" count="135" uniqueCount="32">
  <si>
    <t xml:space="preserve">26 iunie </t>
  </si>
  <si>
    <t>Sample 1</t>
  </si>
  <si>
    <t>Nediluat</t>
  </si>
  <si>
    <t>1/2</t>
  </si>
  <si>
    <t>1/4</t>
  </si>
  <si>
    <t>1/8</t>
  </si>
  <si>
    <t>1/16</t>
  </si>
  <si>
    <t>1/32</t>
  </si>
  <si>
    <t xml:space="preserve">Average </t>
  </si>
  <si>
    <t>Average 3</t>
  </si>
  <si>
    <t>Average</t>
  </si>
  <si>
    <t>Sample 2</t>
  </si>
  <si>
    <t>12 h</t>
  </si>
  <si>
    <t>24 h</t>
  </si>
  <si>
    <t>1/64</t>
  </si>
  <si>
    <t>1/128</t>
  </si>
  <si>
    <t>36 h</t>
  </si>
  <si>
    <t>Sample 3</t>
  </si>
  <si>
    <t>30 iulie</t>
  </si>
  <si>
    <t>Alta tulpină</t>
  </si>
  <si>
    <t xml:space="preserve">Cultură Pseudomonas aeruginosa 24 h + AB </t>
  </si>
  <si>
    <t>Ciprofloxacin</t>
  </si>
  <si>
    <t>4 h</t>
  </si>
  <si>
    <t>8 h</t>
  </si>
  <si>
    <t>Gentamicin</t>
  </si>
  <si>
    <t>Ceftazidim</t>
  </si>
  <si>
    <t xml:space="preserve">8 h </t>
  </si>
  <si>
    <t xml:space="preserve">24 h </t>
  </si>
  <si>
    <t>6 h</t>
  </si>
  <si>
    <t>18 septembrie</t>
  </si>
  <si>
    <t>AB + MH</t>
  </si>
  <si>
    <t>e tulpina standard: nu-I strasnica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</si>
</sst>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9999"/>
      <name val="Calibri"/>
      <family val="2"/>
      <scheme val="minor"/>
    </font>
    <font>
      <b/>
      <sz val="11"/>
      <color rgb="FFFFCCCC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2" fontId="0" fillId="3" borderId="1" xfId="0" applyNumberFormat="1" applyFill="1" applyBorder="1"/>
    <xf numFmtId="0" fontId="2" fillId="0" borderId="0" xfId="0" applyFont="1"/>
    <xf numFmtId="49" fontId="1" fillId="0" borderId="0" xfId="0" applyNumberFormat="1" applyFont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2" fontId="0" fillId="5" borderId="1" xfId="0" applyNumberFormat="1" applyFill="1" applyBorder="1"/>
    <xf numFmtId="0" fontId="0" fillId="6" borderId="0" xfId="0" applyFill="1"/>
    <xf numFmtId="0" fontId="0" fillId="7" borderId="0" xfId="0" applyFill="1"/>
    <xf numFmtId="2" fontId="0" fillId="7" borderId="1" xfId="0" applyNumberFormat="1" applyFill="1" applyBorder="1"/>
    <xf numFmtId="49" fontId="4" fillId="0" borderId="0" xfId="0" applyNumberFormat="1" applyFont="1"/>
    <xf numFmtId="2" fontId="0" fillId="0" borderId="0" xfId="0" applyNumberFormat="1"/>
    <xf numFmtId="0" fontId="5" fillId="6" borderId="0" xfId="0" applyFont="1" applyFill="1"/>
    <xf numFmtId="0" fontId="1" fillId="0" borderId="0" xfId="0" applyFont="1" applyAlignment="1">
      <alignment horizontal="center"/>
    </xf>
    <xf numFmtId="0" fontId="0" fillId="8" borderId="0" xfId="0" applyFill="1"/>
    <xf numFmtId="2" fontId="0" fillId="8" borderId="1" xfId="0" applyNumberFormat="1" applyFill="1" applyBorder="1"/>
    <xf numFmtId="0" fontId="0" fillId="9" borderId="0" xfId="0" applyFill="1"/>
    <xf numFmtId="0" fontId="0" fillId="9" borderId="1" xfId="0" applyFill="1" applyBorder="1"/>
    <xf numFmtId="0" fontId="0" fillId="10" borderId="0" xfId="0" applyFill="1"/>
    <xf numFmtId="2" fontId="0" fillId="10" borderId="1" xfId="0" applyNumberFormat="1" applyFill="1" applyBorder="1"/>
    <xf numFmtId="2" fontId="0" fillId="9" borderId="1" xfId="0" applyNumberFormat="1" applyFill="1" applyBorder="1"/>
    <xf numFmtId="0" fontId="0" fillId="11" borderId="0" xfId="0" applyFill="1"/>
    <xf numFmtId="0" fontId="0" fillId="11" borderId="1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12" borderId="0" xfId="0" applyFill="1"/>
    <xf numFmtId="2" fontId="0" fillId="12" borderId="1" xfId="0" applyNumberFormat="1" applyFill="1" applyBorder="1"/>
    <xf numFmtId="0" fontId="0" fillId="13" borderId="0" xfId="0" applyFill="1"/>
    <xf numFmtId="0" fontId="0" fillId="13" borderId="1" xfId="0" applyFill="1" applyBorder="1"/>
    <xf numFmtId="0" fontId="11" fillId="0" borderId="0" xfId="0" applyFont="1"/>
    <xf numFmtId="0" fontId="10" fillId="0" borderId="0" xfId="0" applyFont="1"/>
    <xf numFmtId="2" fontId="0" fillId="13" borderId="1" xfId="0" applyNumberFormat="1" applyFill="1" applyBorder="1"/>
    <xf numFmtId="0" fontId="0" fillId="14" borderId="0" xfId="0" applyFill="1"/>
    <xf numFmtId="0" fontId="0" fillId="14" borderId="1" xfId="0" applyFill="1" applyBorder="1"/>
    <xf numFmtId="0" fontId="12" fillId="0" borderId="0" xfId="0" applyFont="1"/>
    <xf numFmtId="2" fontId="0" fillId="14" borderId="1" xfId="0" applyNumberFormat="1" applyFill="1" applyBorder="1"/>
    <xf numFmtId="0" fontId="0" fillId="12" borderId="1" xfId="0" applyFill="1" applyBorder="1"/>
    <xf numFmtId="2" fontId="0" fillId="2" borderId="1" xfId="0" applyNumberFormat="1" applyFill="1" applyBorder="1"/>
    <xf numFmtId="0" fontId="0" fillId="6" borderId="1" xfId="0" applyFill="1" applyBorder="1"/>
    <xf numFmtId="0" fontId="0" fillId="3" borderId="1" xfId="0" applyFill="1" applyBorder="1"/>
    <xf numFmtId="0" fontId="0" fillId="15" borderId="0" xfId="0" applyFill="1"/>
    <xf numFmtId="2" fontId="0" fillId="15" borderId="1" xfId="0" applyNumberFormat="1" applyFill="1" applyBorder="1"/>
    <xf numFmtId="0" fontId="0" fillId="5" borderId="1" xfId="0" applyFill="1" applyBorder="1"/>
    <xf numFmtId="0" fontId="14" fillId="16" borderId="0" xfId="0" applyFont="1" applyFill="1"/>
    <xf numFmtId="2" fontId="14" fillId="16" borderId="1" xfId="0" applyNumberFormat="1" applyFont="1" applyFill="1" applyBorder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6E28-6467-4057-865A-C7D0D6740A7F}">
  <dimension ref="A1:AA33"/>
  <sheetViews>
    <sheetView tabSelected="1" topLeftCell="L9" zoomScale="127" zoomScaleNormal="127" workbookViewId="0">
      <selection activeCell="AA19" sqref="AA19"/>
    </sheetView>
  </sheetViews>
  <sheetFormatPr defaultRowHeight="14.6" x14ac:dyDescent="0.4"/>
  <cols>
    <col min="1" max="1" width="15.07421875" customWidth="1"/>
    <col min="9" max="9" width="9.23046875" bestFit="1" customWidth="1"/>
    <col min="21" max="21" width="11.4609375" customWidth="1"/>
  </cols>
  <sheetData>
    <row r="1" spans="1:18" x14ac:dyDescent="0.4">
      <c r="A1" t="s">
        <v>29</v>
      </c>
    </row>
    <row r="2" spans="1:18" x14ac:dyDescent="0.4">
      <c r="A2" s="6" t="s">
        <v>28</v>
      </c>
      <c r="B2" s="10" t="s">
        <v>1</v>
      </c>
      <c r="H2" s="48" t="s">
        <v>9</v>
      </c>
      <c r="I2" s="48" t="s">
        <v>8</v>
      </c>
    </row>
    <row r="3" spans="1:18" x14ac:dyDescent="0.4">
      <c r="A3" t="s">
        <v>2</v>
      </c>
      <c r="B3" s="46">
        <v>0.91</v>
      </c>
      <c r="C3" s="46">
        <v>0.89</v>
      </c>
      <c r="D3" s="46">
        <v>0.91</v>
      </c>
      <c r="E3" s="46"/>
      <c r="F3" s="46"/>
      <c r="G3" s="46"/>
      <c r="H3" s="47">
        <f>AVERAGE(B3:D3)</f>
        <v>0.90333333333333332</v>
      </c>
      <c r="I3" s="47">
        <f>AVERAGE(B3:G3)</f>
        <v>0.90333333333333332</v>
      </c>
    </row>
    <row r="4" spans="1:18" x14ac:dyDescent="0.4">
      <c r="A4" s="1" t="s">
        <v>3</v>
      </c>
      <c r="B4" s="46">
        <v>0.6</v>
      </c>
      <c r="C4" s="46">
        <v>0.61</v>
      </c>
      <c r="D4" s="46">
        <v>0.6</v>
      </c>
      <c r="E4" s="46"/>
      <c r="F4" s="46"/>
      <c r="G4" s="46"/>
      <c r="H4" s="47">
        <f t="shared" ref="H4" si="0">AVERAGE(B4:D4)</f>
        <v>0.60333333333333339</v>
      </c>
      <c r="I4" s="47">
        <f t="shared" ref="I4:I5" si="1">AVERAGE(B4:G4)</f>
        <v>0.60333333333333339</v>
      </c>
    </row>
    <row r="5" spans="1:18" x14ac:dyDescent="0.4">
      <c r="A5" s="1" t="s">
        <v>4</v>
      </c>
      <c r="B5" s="46">
        <v>0.47</v>
      </c>
      <c r="C5" s="46">
        <v>0.48</v>
      </c>
      <c r="D5" s="46">
        <v>0.51</v>
      </c>
      <c r="E5" s="46">
        <v>0.49</v>
      </c>
      <c r="F5" s="46"/>
      <c r="G5" s="46"/>
      <c r="H5" s="47">
        <f>AVERAGE(B5:E5)</f>
        <v>0.48749999999999999</v>
      </c>
      <c r="I5" s="47">
        <f t="shared" si="1"/>
        <v>0.48749999999999999</v>
      </c>
    </row>
    <row r="7" spans="1:18" x14ac:dyDescent="0.4">
      <c r="A7" t="s">
        <v>0</v>
      </c>
    </row>
    <row r="8" spans="1:18" x14ac:dyDescent="0.4">
      <c r="A8" s="6" t="s">
        <v>12</v>
      </c>
      <c r="B8" s="2" t="s">
        <v>1</v>
      </c>
      <c r="H8" s="4" t="s">
        <v>9</v>
      </c>
      <c r="I8" s="4" t="s">
        <v>8</v>
      </c>
      <c r="K8" s="2" t="s">
        <v>11</v>
      </c>
      <c r="Q8" s="4" t="s">
        <v>9</v>
      </c>
      <c r="R8" s="4" t="s">
        <v>10</v>
      </c>
    </row>
    <row r="9" spans="1:18" x14ac:dyDescent="0.4">
      <c r="A9" t="s">
        <v>2</v>
      </c>
      <c r="B9" s="3">
        <v>1.39</v>
      </c>
      <c r="C9" s="3">
        <v>1.38</v>
      </c>
      <c r="D9" s="3">
        <v>1.36</v>
      </c>
      <c r="E9" s="3">
        <v>1.4</v>
      </c>
      <c r="F9" s="3">
        <v>1.38</v>
      </c>
      <c r="G9" s="3">
        <v>1.4</v>
      </c>
      <c r="H9" s="5">
        <f>AVERAGE(B9:D9)</f>
        <v>1.3766666666666667</v>
      </c>
      <c r="I9" s="5">
        <f>AVERAGE(B9:G9)</f>
        <v>1.3849999999999998</v>
      </c>
      <c r="K9" s="3">
        <v>1.44</v>
      </c>
      <c r="L9" s="3">
        <v>1.49</v>
      </c>
      <c r="M9" s="3">
        <v>1.46</v>
      </c>
      <c r="N9" s="3">
        <v>1.4</v>
      </c>
      <c r="O9" s="3">
        <v>1.45</v>
      </c>
      <c r="P9" s="3">
        <v>1.35</v>
      </c>
      <c r="Q9" s="5">
        <f>AVERAGE(K9:M9)</f>
        <v>1.4633333333333332</v>
      </c>
      <c r="R9" s="5">
        <f>AVERAGE(K9:P9)</f>
        <v>1.4316666666666666</v>
      </c>
    </row>
    <row r="10" spans="1:18" x14ac:dyDescent="0.4">
      <c r="A10" s="1" t="s">
        <v>3</v>
      </c>
      <c r="B10" s="3">
        <v>0.86</v>
      </c>
      <c r="C10" s="3">
        <v>0.86</v>
      </c>
      <c r="D10" s="3">
        <v>0.91</v>
      </c>
      <c r="E10" s="3">
        <v>0.91</v>
      </c>
      <c r="F10" s="3">
        <v>0.94</v>
      </c>
      <c r="G10" s="3"/>
      <c r="H10" s="5">
        <f t="shared" ref="H10:H14" si="2">AVERAGE(B10:D10)</f>
        <v>0.87666666666666659</v>
      </c>
      <c r="I10" s="5">
        <f t="shared" ref="I10:I14" si="3">AVERAGE(B10:G10)</f>
        <v>0.89600000000000013</v>
      </c>
      <c r="K10" s="3">
        <v>0.96</v>
      </c>
      <c r="L10" s="3">
        <v>0.99</v>
      </c>
      <c r="M10" s="3">
        <v>0.99</v>
      </c>
      <c r="N10" s="3">
        <v>1.02</v>
      </c>
      <c r="O10" s="3">
        <v>1.06</v>
      </c>
      <c r="P10" s="3">
        <v>1.04</v>
      </c>
      <c r="Q10" s="5">
        <f t="shared" ref="Q10:Q14" si="4">AVERAGE(K10:M10)</f>
        <v>0.98</v>
      </c>
      <c r="R10" s="5">
        <f t="shared" ref="R10:R14" si="5">AVERAGE(K10:P10)</f>
        <v>1.01</v>
      </c>
    </row>
    <row r="11" spans="1:18" x14ac:dyDescent="0.4">
      <c r="A11" s="1" t="s">
        <v>4</v>
      </c>
      <c r="B11" s="3">
        <v>0.71</v>
      </c>
      <c r="C11" s="3">
        <v>0.72</v>
      </c>
      <c r="D11" s="3">
        <v>0.7</v>
      </c>
      <c r="E11" s="3">
        <v>0.66</v>
      </c>
      <c r="F11" s="3">
        <v>0.65</v>
      </c>
      <c r="G11" s="3">
        <v>0.63</v>
      </c>
      <c r="H11" s="5">
        <f t="shared" si="2"/>
        <v>0.71</v>
      </c>
      <c r="I11" s="5">
        <f t="shared" si="3"/>
        <v>0.67833333333333334</v>
      </c>
      <c r="K11" s="3">
        <v>0.61</v>
      </c>
      <c r="L11" s="3">
        <v>0.6</v>
      </c>
      <c r="M11" s="3">
        <v>0.57999999999999996</v>
      </c>
      <c r="N11" s="3">
        <v>0.61</v>
      </c>
      <c r="O11" s="3">
        <v>0.61</v>
      </c>
      <c r="P11" s="3">
        <v>0.6</v>
      </c>
      <c r="Q11" s="5">
        <f t="shared" si="4"/>
        <v>0.59666666666666668</v>
      </c>
      <c r="R11" s="5">
        <f t="shared" si="5"/>
        <v>0.60166666666666668</v>
      </c>
    </row>
    <row r="12" spans="1:18" x14ac:dyDescent="0.4">
      <c r="A12" s="1" t="s">
        <v>5</v>
      </c>
      <c r="B12" s="3">
        <v>0.51</v>
      </c>
      <c r="C12" s="3">
        <v>0.52</v>
      </c>
      <c r="D12" s="3">
        <v>0.5</v>
      </c>
      <c r="E12" s="3">
        <v>0.49</v>
      </c>
      <c r="F12" s="3">
        <v>0.48</v>
      </c>
      <c r="G12" s="3">
        <v>0.48</v>
      </c>
      <c r="H12" s="5">
        <f t="shared" si="2"/>
        <v>0.51</v>
      </c>
      <c r="I12" s="5">
        <f t="shared" si="3"/>
        <v>0.49666666666666665</v>
      </c>
      <c r="K12" s="3">
        <v>0.53</v>
      </c>
      <c r="L12" s="3">
        <v>0.52</v>
      </c>
      <c r="M12" s="3">
        <v>0.52</v>
      </c>
      <c r="N12" s="3">
        <v>0.52</v>
      </c>
      <c r="O12" s="3">
        <v>0.56000000000000005</v>
      </c>
      <c r="P12" s="3">
        <v>0.53</v>
      </c>
      <c r="Q12" s="5">
        <f t="shared" si="4"/>
        <v>0.52333333333333332</v>
      </c>
      <c r="R12" s="5">
        <f t="shared" si="5"/>
        <v>0.52999999999999992</v>
      </c>
    </row>
    <row r="13" spans="1:18" x14ac:dyDescent="0.4">
      <c r="A13" s="1" t="s">
        <v>6</v>
      </c>
      <c r="B13" s="3">
        <v>0.48</v>
      </c>
      <c r="C13" s="3">
        <v>0.49</v>
      </c>
      <c r="D13" s="3">
        <v>0.49</v>
      </c>
      <c r="E13" s="3">
        <v>0.48</v>
      </c>
      <c r="F13" s="3">
        <v>0.5</v>
      </c>
      <c r="G13" s="3"/>
      <c r="H13" s="5">
        <f t="shared" si="2"/>
        <v>0.48666666666666664</v>
      </c>
      <c r="I13" s="5">
        <f t="shared" si="3"/>
        <v>0.48799999999999999</v>
      </c>
      <c r="K13" s="3">
        <v>0.47</v>
      </c>
      <c r="L13" s="3">
        <v>0.46</v>
      </c>
      <c r="M13" s="3">
        <v>0.47</v>
      </c>
      <c r="N13" s="3">
        <v>0.49</v>
      </c>
      <c r="O13" s="3">
        <v>0.49</v>
      </c>
      <c r="P13" s="3">
        <v>0.48</v>
      </c>
      <c r="Q13" s="5">
        <f t="shared" si="4"/>
        <v>0.46666666666666662</v>
      </c>
      <c r="R13" s="5">
        <f t="shared" si="5"/>
        <v>0.47666666666666663</v>
      </c>
    </row>
    <row r="14" spans="1:18" x14ac:dyDescent="0.4">
      <c r="A14" s="1" t="s">
        <v>7</v>
      </c>
      <c r="B14" s="3">
        <v>0.39</v>
      </c>
      <c r="C14" s="3">
        <v>0.39</v>
      </c>
      <c r="D14" s="3">
        <v>0.39</v>
      </c>
      <c r="E14" s="3">
        <v>0.4</v>
      </c>
      <c r="F14" s="3">
        <v>0.39</v>
      </c>
      <c r="G14" s="3">
        <v>0.43</v>
      </c>
      <c r="H14" s="5">
        <f t="shared" si="2"/>
        <v>0.38999999999999996</v>
      </c>
      <c r="I14" s="5">
        <f t="shared" si="3"/>
        <v>0.39833333333333337</v>
      </c>
      <c r="K14" s="3">
        <v>0.48</v>
      </c>
      <c r="L14" s="3">
        <v>0.44</v>
      </c>
      <c r="M14" s="3">
        <v>0.45</v>
      </c>
      <c r="N14" s="3">
        <v>0.44</v>
      </c>
      <c r="O14" s="3">
        <v>0.45</v>
      </c>
      <c r="P14" s="3">
        <v>0.48</v>
      </c>
      <c r="Q14" s="5">
        <f t="shared" si="4"/>
        <v>0.45666666666666661</v>
      </c>
      <c r="R14" s="5">
        <f t="shared" si="5"/>
        <v>0.45666666666666661</v>
      </c>
    </row>
    <row r="16" spans="1:18" x14ac:dyDescent="0.4">
      <c r="A16" s="7" t="s">
        <v>13</v>
      </c>
      <c r="B16" s="8" t="s">
        <v>1</v>
      </c>
      <c r="H16" s="9" t="s">
        <v>9</v>
      </c>
      <c r="I16" s="9" t="s">
        <v>8</v>
      </c>
      <c r="K16" s="8" t="s">
        <v>11</v>
      </c>
      <c r="Q16" s="9" t="s">
        <v>9</v>
      </c>
      <c r="R16" s="9" t="s">
        <v>10</v>
      </c>
    </row>
    <row r="17" spans="1:27" x14ac:dyDescent="0.4">
      <c r="A17" t="s">
        <v>2</v>
      </c>
      <c r="B17" s="10">
        <v>2.54</v>
      </c>
      <c r="C17" s="10">
        <v>2.54</v>
      </c>
      <c r="D17" s="10">
        <v>2.59</v>
      </c>
      <c r="E17" s="10">
        <v>2.57</v>
      </c>
      <c r="F17" s="10">
        <v>2.5299999999999998</v>
      </c>
      <c r="G17" s="10">
        <v>2.58</v>
      </c>
      <c r="H17" s="11">
        <f>AVERAGE(B17:D17)</f>
        <v>2.5566666666666666</v>
      </c>
      <c r="I17" s="11">
        <f>AVERAGE(B17:G17)</f>
        <v>2.5583333333333331</v>
      </c>
      <c r="K17" s="10">
        <v>2.58</v>
      </c>
      <c r="L17" s="10">
        <v>2.59</v>
      </c>
      <c r="M17" s="10">
        <v>2.5499999999999998</v>
      </c>
      <c r="N17" s="10">
        <v>2.57</v>
      </c>
      <c r="O17" s="10">
        <v>2.5299999999999998</v>
      </c>
      <c r="P17" s="10">
        <v>2.6</v>
      </c>
      <c r="Q17" s="11">
        <f>AVERAGE(K17:M17)</f>
        <v>2.5733333333333333</v>
      </c>
      <c r="R17" s="11">
        <f>AVERAGE(K17:P17)</f>
        <v>2.57</v>
      </c>
    </row>
    <row r="18" spans="1:27" x14ac:dyDescent="0.4">
      <c r="A18" s="1" t="s">
        <v>3</v>
      </c>
      <c r="B18" s="10">
        <v>1.48</v>
      </c>
      <c r="C18" s="10">
        <v>1.51</v>
      </c>
      <c r="D18" s="10">
        <v>1.48</v>
      </c>
      <c r="E18" s="10">
        <v>1.44</v>
      </c>
      <c r="F18" s="10">
        <v>1.43</v>
      </c>
      <c r="G18" s="10">
        <v>1.47</v>
      </c>
      <c r="H18" s="11">
        <f t="shared" ref="H18:H24" si="6">AVERAGE(B18:D18)</f>
        <v>1.4900000000000002</v>
      </c>
      <c r="I18" s="11">
        <f t="shared" ref="I18:I24" si="7">AVERAGE(B18:G18)</f>
        <v>1.4683333333333335</v>
      </c>
      <c r="K18" s="10">
        <v>1.46</v>
      </c>
      <c r="L18" s="10">
        <v>1.46</v>
      </c>
      <c r="M18" s="10">
        <v>1.44</v>
      </c>
      <c r="N18" s="10">
        <v>1.47</v>
      </c>
      <c r="O18" s="10">
        <v>1.48</v>
      </c>
      <c r="P18" s="10">
        <v>1.44</v>
      </c>
      <c r="Q18" s="11">
        <f t="shared" ref="Q18:Q24" si="8">AVERAGE(K18:M18)</f>
        <v>1.4533333333333331</v>
      </c>
      <c r="R18" s="11">
        <f t="shared" ref="R18:R24" si="9">AVERAGE(K18:P18)</f>
        <v>1.458333333333333</v>
      </c>
    </row>
    <row r="19" spans="1:27" x14ac:dyDescent="0.4">
      <c r="A19" s="1" t="s">
        <v>4</v>
      </c>
      <c r="B19" s="10">
        <v>0.86</v>
      </c>
      <c r="C19" s="10">
        <v>0.87</v>
      </c>
      <c r="D19" s="10">
        <v>0.88</v>
      </c>
      <c r="E19" s="10">
        <v>0.86</v>
      </c>
      <c r="F19" s="10">
        <v>0.85</v>
      </c>
      <c r="G19" s="10">
        <v>0.87</v>
      </c>
      <c r="H19" s="11">
        <f t="shared" si="6"/>
        <v>0.87</v>
      </c>
      <c r="I19" s="11">
        <f t="shared" si="7"/>
        <v>0.86499999999999988</v>
      </c>
      <c r="K19" s="10">
        <v>0.9</v>
      </c>
      <c r="L19" s="10">
        <v>0.9</v>
      </c>
      <c r="M19" s="10">
        <v>0.92</v>
      </c>
      <c r="N19" s="10">
        <v>0.91</v>
      </c>
      <c r="O19" s="10">
        <v>0.93</v>
      </c>
      <c r="P19" s="10">
        <v>0.89</v>
      </c>
      <c r="Q19" s="11">
        <f t="shared" si="8"/>
        <v>0.90666666666666673</v>
      </c>
      <c r="R19" s="11">
        <f t="shared" si="9"/>
        <v>0.90833333333333333</v>
      </c>
    </row>
    <row r="20" spans="1:27" x14ac:dyDescent="0.4">
      <c r="A20" s="1" t="s">
        <v>5</v>
      </c>
      <c r="B20" s="10">
        <v>0.62</v>
      </c>
      <c r="C20" s="10">
        <v>0.67</v>
      </c>
      <c r="D20" s="10">
        <v>0.68</v>
      </c>
      <c r="E20" s="10">
        <v>0.69</v>
      </c>
      <c r="F20" s="10">
        <v>0.64</v>
      </c>
      <c r="G20" s="10">
        <v>0.66</v>
      </c>
      <c r="H20" s="11">
        <f t="shared" si="6"/>
        <v>0.65666666666666673</v>
      </c>
      <c r="I20" s="11">
        <f t="shared" si="7"/>
        <v>0.66</v>
      </c>
      <c r="K20" s="10">
        <v>0.64</v>
      </c>
      <c r="L20" s="10">
        <v>0.63</v>
      </c>
      <c r="M20" s="10">
        <v>0.66</v>
      </c>
      <c r="N20" s="10">
        <v>0.68</v>
      </c>
      <c r="O20" s="10">
        <v>0.65</v>
      </c>
      <c r="P20" s="10">
        <v>0.61</v>
      </c>
      <c r="Q20" s="11">
        <f t="shared" si="8"/>
        <v>0.64333333333333342</v>
      </c>
      <c r="R20" s="11">
        <f t="shared" si="9"/>
        <v>0.64500000000000002</v>
      </c>
    </row>
    <row r="21" spans="1:27" x14ac:dyDescent="0.4">
      <c r="A21" s="1" t="s">
        <v>6</v>
      </c>
      <c r="B21" s="10">
        <v>0.57999999999999996</v>
      </c>
      <c r="C21" s="10">
        <v>0.59</v>
      </c>
      <c r="D21" s="10">
        <v>0.59</v>
      </c>
      <c r="E21" s="10">
        <v>0.61</v>
      </c>
      <c r="F21" s="10">
        <v>0.6</v>
      </c>
      <c r="G21" s="10">
        <v>0.64</v>
      </c>
      <c r="H21" s="11">
        <f t="shared" si="6"/>
        <v>0.58666666666666656</v>
      </c>
      <c r="I21" s="11">
        <f t="shared" si="7"/>
        <v>0.60166666666666668</v>
      </c>
      <c r="K21" s="10">
        <v>0.55000000000000004</v>
      </c>
      <c r="L21" s="10">
        <v>0.56999999999999995</v>
      </c>
      <c r="M21" s="10">
        <v>0.6</v>
      </c>
      <c r="N21" s="10">
        <v>0.56000000000000005</v>
      </c>
      <c r="O21" s="10">
        <v>0.55000000000000004</v>
      </c>
      <c r="P21" s="10">
        <v>0.59</v>
      </c>
      <c r="Q21" s="11">
        <f t="shared" si="8"/>
        <v>0.57333333333333336</v>
      </c>
      <c r="R21" s="11">
        <f t="shared" si="9"/>
        <v>0.56999999999999995</v>
      </c>
    </row>
    <row r="22" spans="1:27" x14ac:dyDescent="0.4">
      <c r="A22" s="1" t="s">
        <v>7</v>
      </c>
      <c r="B22" s="10">
        <v>0.49</v>
      </c>
      <c r="C22" s="10">
        <v>0.49</v>
      </c>
      <c r="D22" s="10">
        <v>0.5</v>
      </c>
      <c r="E22" s="10">
        <v>0.48</v>
      </c>
      <c r="F22" s="10">
        <v>0.45</v>
      </c>
      <c r="G22" s="10">
        <v>0.52</v>
      </c>
      <c r="H22" s="11">
        <f t="shared" si="6"/>
        <v>0.49333333333333335</v>
      </c>
      <c r="I22" s="11">
        <f t="shared" si="7"/>
        <v>0.48833333333333334</v>
      </c>
      <c r="K22" s="10">
        <v>0.44</v>
      </c>
      <c r="L22" s="10">
        <v>0.51</v>
      </c>
      <c r="M22" s="10">
        <v>0.48</v>
      </c>
      <c r="N22" s="10">
        <v>0.47</v>
      </c>
      <c r="O22" s="10">
        <v>0.48</v>
      </c>
      <c r="P22" s="10">
        <v>0.46</v>
      </c>
      <c r="Q22" s="11">
        <f t="shared" si="8"/>
        <v>0.47666666666666663</v>
      </c>
      <c r="R22" s="11">
        <f t="shared" si="9"/>
        <v>0.47333333333333333</v>
      </c>
    </row>
    <row r="23" spans="1:27" x14ac:dyDescent="0.4">
      <c r="A23" s="1" t="s">
        <v>14</v>
      </c>
      <c r="B23" s="10">
        <v>0.43</v>
      </c>
      <c r="C23" s="10">
        <v>0.46</v>
      </c>
      <c r="D23" s="10">
        <v>0.42</v>
      </c>
      <c r="E23" s="10">
        <v>0.45</v>
      </c>
      <c r="F23" s="10">
        <v>0.46</v>
      </c>
      <c r="G23" s="10">
        <v>0.44</v>
      </c>
      <c r="H23" s="11">
        <f t="shared" si="6"/>
        <v>0.4366666666666667</v>
      </c>
      <c r="I23" s="11">
        <f t="shared" si="7"/>
        <v>0.44333333333333336</v>
      </c>
      <c r="K23" s="10">
        <v>0.46</v>
      </c>
      <c r="L23" s="10">
        <v>0.44</v>
      </c>
      <c r="M23" s="10">
        <v>0.48</v>
      </c>
      <c r="N23" s="10">
        <v>0.41</v>
      </c>
      <c r="O23" s="10">
        <v>0.45</v>
      </c>
      <c r="P23" s="10">
        <v>0.44</v>
      </c>
      <c r="Q23" s="11">
        <f t="shared" si="8"/>
        <v>0.45999999999999996</v>
      </c>
      <c r="R23" s="11">
        <f t="shared" si="9"/>
        <v>0.4466666666666666</v>
      </c>
    </row>
    <row r="24" spans="1:27" x14ac:dyDescent="0.4">
      <c r="A24" s="1" t="s">
        <v>15</v>
      </c>
      <c r="B24" s="10">
        <v>0.44</v>
      </c>
      <c r="C24" s="10">
        <v>0.43</v>
      </c>
      <c r="D24" s="10">
        <v>0.41</v>
      </c>
      <c r="E24" s="10">
        <v>0.42</v>
      </c>
      <c r="F24" s="10">
        <v>0.41</v>
      </c>
      <c r="G24" s="10">
        <v>0.44</v>
      </c>
      <c r="H24" s="11">
        <f t="shared" si="6"/>
        <v>0.42666666666666669</v>
      </c>
      <c r="I24" s="11">
        <f t="shared" si="7"/>
        <v>0.42499999999999999</v>
      </c>
      <c r="K24" s="10">
        <v>0.41</v>
      </c>
      <c r="L24" s="10">
        <v>0.43</v>
      </c>
      <c r="M24" s="10">
        <v>0.42</v>
      </c>
      <c r="N24" s="10">
        <v>0.4</v>
      </c>
      <c r="O24" s="10">
        <v>0.38</v>
      </c>
      <c r="P24" s="10">
        <v>0.37</v>
      </c>
      <c r="Q24" s="11">
        <f t="shared" si="8"/>
        <v>0.42</v>
      </c>
      <c r="R24" s="11">
        <f t="shared" si="9"/>
        <v>0.40166666666666667</v>
      </c>
    </row>
    <row r="25" spans="1:27" x14ac:dyDescent="0.4">
      <c r="A25" s="1"/>
      <c r="H25" s="16"/>
      <c r="I25" s="16"/>
      <c r="Q25" s="16"/>
      <c r="R25" s="16"/>
      <c r="T25" t="s">
        <v>31</v>
      </c>
    </row>
    <row r="26" spans="1:27" x14ac:dyDescent="0.4">
      <c r="A26" s="1" t="s">
        <v>18</v>
      </c>
    </row>
    <row r="27" spans="1:27" x14ac:dyDescent="0.4">
      <c r="A27" s="15" t="s">
        <v>16</v>
      </c>
      <c r="B27" s="12" t="s">
        <v>1</v>
      </c>
      <c r="H27" s="12" t="s">
        <v>9</v>
      </c>
      <c r="I27" s="12" t="s">
        <v>8</v>
      </c>
      <c r="K27" s="12" t="s">
        <v>11</v>
      </c>
      <c r="Q27" s="12" t="s">
        <v>9</v>
      </c>
      <c r="R27" s="12" t="s">
        <v>8</v>
      </c>
      <c r="T27" s="12" t="s">
        <v>17</v>
      </c>
      <c r="U27" s="17" t="s">
        <v>19</v>
      </c>
      <c r="Z27" s="12" t="s">
        <v>9</v>
      </c>
      <c r="AA27" s="12" t="s">
        <v>8</v>
      </c>
    </row>
    <row r="28" spans="1:27" x14ac:dyDescent="0.4">
      <c r="A28" t="s">
        <v>2</v>
      </c>
      <c r="B28" s="13">
        <v>1.91</v>
      </c>
      <c r="C28" s="13">
        <v>1.94</v>
      </c>
      <c r="D28" s="13">
        <v>1.94</v>
      </c>
      <c r="E28" s="13">
        <v>1.95</v>
      </c>
      <c r="F28" s="13">
        <v>1.95</v>
      </c>
      <c r="G28" s="13">
        <v>1.94</v>
      </c>
      <c r="H28" s="14">
        <f>AVERAGE(B28:D28)</f>
        <v>1.9299999999999997</v>
      </c>
      <c r="I28" s="14">
        <f>AVERAGE(B28:G28)</f>
        <v>1.9383333333333332</v>
      </c>
      <c r="K28" s="13">
        <v>1.89</v>
      </c>
      <c r="L28" s="13">
        <v>1.92</v>
      </c>
      <c r="M28" s="13">
        <v>1.92</v>
      </c>
      <c r="N28" s="13">
        <v>1.93</v>
      </c>
      <c r="O28" s="13">
        <v>1.93</v>
      </c>
      <c r="P28" s="13">
        <v>1.93</v>
      </c>
      <c r="Q28" s="14">
        <f>AVERAGE(K28:M28)</f>
        <v>1.91</v>
      </c>
      <c r="R28" s="14">
        <f>AVERAGE(K28:P28)</f>
        <v>1.92</v>
      </c>
      <c r="T28" s="13">
        <v>2</v>
      </c>
      <c r="U28" s="13">
        <v>2.0499999999999998</v>
      </c>
      <c r="V28" s="13">
        <v>2.06</v>
      </c>
      <c r="W28" s="13">
        <v>2.0499999999999998</v>
      </c>
      <c r="X28" s="13">
        <v>2.0699999999999998</v>
      </c>
      <c r="Y28" s="13">
        <v>2.0699999999999998</v>
      </c>
      <c r="Z28" s="14">
        <f>AVERAGE(T28:V28)</f>
        <v>2.0366666666666666</v>
      </c>
      <c r="AA28" s="14">
        <f>AVERAGE(T28:Y28)</f>
        <v>2.0500000000000003</v>
      </c>
    </row>
    <row r="29" spans="1:27" x14ac:dyDescent="0.4">
      <c r="A29" s="1" t="s">
        <v>3</v>
      </c>
      <c r="B29" s="13">
        <v>1.1599999999999999</v>
      </c>
      <c r="C29" s="13">
        <v>1.17</v>
      </c>
      <c r="D29" s="13">
        <v>1.18</v>
      </c>
      <c r="E29" s="13">
        <v>1.18</v>
      </c>
      <c r="F29" s="13">
        <v>1.18</v>
      </c>
      <c r="G29" s="13">
        <v>1.19</v>
      </c>
      <c r="H29" s="14">
        <f t="shared" ref="H29:H33" si="10">AVERAGE(B29:D29)</f>
        <v>1.17</v>
      </c>
      <c r="I29" s="14">
        <f t="shared" ref="I29:I33" si="11">AVERAGE(B29:G29)</f>
        <v>1.1766666666666665</v>
      </c>
      <c r="K29" s="13">
        <v>1.18</v>
      </c>
      <c r="L29" s="13">
        <v>1.18</v>
      </c>
      <c r="M29" s="13">
        <v>1.18</v>
      </c>
      <c r="N29" s="13">
        <v>1.19</v>
      </c>
      <c r="O29" s="13">
        <v>1.2</v>
      </c>
      <c r="P29" s="13">
        <v>1.2</v>
      </c>
      <c r="Q29" s="14">
        <f t="shared" ref="Q29:Q33" si="12">AVERAGE(K29:M29)</f>
        <v>1.18</v>
      </c>
      <c r="R29" s="14">
        <f t="shared" ref="R29:R33" si="13">AVERAGE(K29:P29)</f>
        <v>1.1883333333333335</v>
      </c>
      <c r="T29" s="13">
        <v>1.17</v>
      </c>
      <c r="U29" s="13">
        <v>1.18</v>
      </c>
      <c r="V29" s="13">
        <v>1.18</v>
      </c>
      <c r="W29" s="13">
        <v>1.18</v>
      </c>
      <c r="X29" s="13">
        <v>1.19</v>
      </c>
      <c r="Y29" s="13">
        <v>1.18</v>
      </c>
      <c r="Z29" s="14">
        <f t="shared" ref="Z29:Z33" si="14">AVERAGE(T29:V29)</f>
        <v>1.1766666666666665</v>
      </c>
      <c r="AA29" s="14">
        <f t="shared" ref="AA29:AA33" si="15">AVERAGE(T29:Y29)</f>
        <v>1.1799999999999997</v>
      </c>
    </row>
    <row r="30" spans="1:27" x14ac:dyDescent="0.4">
      <c r="A30" s="1" t="s">
        <v>4</v>
      </c>
      <c r="B30" s="13">
        <v>0.77</v>
      </c>
      <c r="C30" s="13">
        <v>0.76</v>
      </c>
      <c r="D30" s="13">
        <v>0.76</v>
      </c>
      <c r="E30" s="13">
        <v>0.76</v>
      </c>
      <c r="F30" s="13">
        <v>0.77</v>
      </c>
      <c r="G30" s="13">
        <v>0.76</v>
      </c>
      <c r="H30" s="14">
        <f t="shared" si="10"/>
        <v>0.76333333333333331</v>
      </c>
      <c r="I30" s="14">
        <f t="shared" si="11"/>
        <v>0.76333333333333331</v>
      </c>
      <c r="K30" s="13">
        <v>0.8</v>
      </c>
      <c r="L30" s="13">
        <v>0.77</v>
      </c>
      <c r="M30" s="13">
        <v>0.78</v>
      </c>
      <c r="N30" s="13">
        <v>0.78</v>
      </c>
      <c r="O30" s="13">
        <v>0.78</v>
      </c>
      <c r="P30" s="13">
        <v>0.78</v>
      </c>
      <c r="Q30" s="14">
        <f t="shared" si="12"/>
        <v>0.78333333333333333</v>
      </c>
      <c r="R30" s="14">
        <f t="shared" si="13"/>
        <v>0.78166666666666673</v>
      </c>
      <c r="T30" s="13">
        <v>0.73</v>
      </c>
      <c r="U30" s="13">
        <v>0.75</v>
      </c>
      <c r="V30" s="13">
        <v>0.75</v>
      </c>
      <c r="W30" s="13">
        <v>0.76</v>
      </c>
      <c r="X30" s="13">
        <v>0.78</v>
      </c>
      <c r="Y30" s="13">
        <v>0.76</v>
      </c>
      <c r="Z30" s="14">
        <f t="shared" si="14"/>
        <v>0.74333333333333329</v>
      </c>
      <c r="AA30" s="14">
        <f t="shared" si="15"/>
        <v>0.755</v>
      </c>
    </row>
    <row r="31" spans="1:27" x14ac:dyDescent="0.4">
      <c r="A31" s="1" t="s">
        <v>5</v>
      </c>
      <c r="B31" s="13">
        <v>0.54</v>
      </c>
      <c r="C31" s="13">
        <v>0.54</v>
      </c>
      <c r="D31" s="13">
        <v>0.55000000000000004</v>
      </c>
      <c r="E31" s="13">
        <v>0.54</v>
      </c>
      <c r="F31" s="13">
        <v>0.54</v>
      </c>
      <c r="G31" s="13">
        <v>0.54</v>
      </c>
      <c r="H31" s="14">
        <f t="shared" si="10"/>
        <v>0.54333333333333333</v>
      </c>
      <c r="I31" s="14">
        <f t="shared" si="11"/>
        <v>0.54166666666666663</v>
      </c>
      <c r="K31" s="13">
        <v>0.62</v>
      </c>
      <c r="L31" s="13">
        <v>0.61</v>
      </c>
      <c r="M31" s="13">
        <v>0.61</v>
      </c>
      <c r="N31" s="13">
        <v>0.62</v>
      </c>
      <c r="O31" s="13">
        <v>0.62</v>
      </c>
      <c r="P31" s="13">
        <v>0.62</v>
      </c>
      <c r="Q31" s="14">
        <f t="shared" si="12"/>
        <v>0.61333333333333329</v>
      </c>
      <c r="R31" s="14">
        <f t="shared" si="13"/>
        <v>0.6166666666666667</v>
      </c>
      <c r="T31" s="13">
        <v>0.62</v>
      </c>
      <c r="U31" s="13">
        <v>0.61</v>
      </c>
      <c r="V31" s="13">
        <v>0.62</v>
      </c>
      <c r="W31" s="13">
        <v>0.62</v>
      </c>
      <c r="X31" s="13">
        <v>0.63</v>
      </c>
      <c r="Y31" s="13">
        <v>0.63</v>
      </c>
      <c r="Z31" s="14">
        <f t="shared" si="14"/>
        <v>0.6166666666666667</v>
      </c>
      <c r="AA31" s="14">
        <f t="shared" si="15"/>
        <v>0.6216666666666667</v>
      </c>
    </row>
    <row r="32" spans="1:27" x14ac:dyDescent="0.4">
      <c r="A32" s="1" t="s">
        <v>6</v>
      </c>
      <c r="B32" s="13">
        <v>0.47</v>
      </c>
      <c r="C32" s="13">
        <v>0.45</v>
      </c>
      <c r="D32" s="13">
        <v>0.46</v>
      </c>
      <c r="E32" s="13">
        <v>0.46</v>
      </c>
      <c r="F32" s="13">
        <v>0.46</v>
      </c>
      <c r="G32" s="13">
        <v>0.46</v>
      </c>
      <c r="H32" s="14">
        <f t="shared" si="10"/>
        <v>0.45999999999999996</v>
      </c>
      <c r="I32" s="14">
        <f t="shared" si="11"/>
        <v>0.45999999999999996</v>
      </c>
      <c r="K32" s="13">
        <v>0.6</v>
      </c>
      <c r="L32" s="13">
        <v>0.57999999999999996</v>
      </c>
      <c r="M32" s="13">
        <v>0.57999999999999996</v>
      </c>
      <c r="N32" s="13">
        <v>0.59</v>
      </c>
      <c r="O32" s="13">
        <v>0.59</v>
      </c>
      <c r="P32" s="13">
        <v>0.6</v>
      </c>
      <c r="Q32" s="14">
        <f t="shared" si="12"/>
        <v>0.58666666666666656</v>
      </c>
      <c r="R32" s="14">
        <f t="shared" si="13"/>
        <v>0.59</v>
      </c>
      <c r="T32" s="13">
        <v>0.47</v>
      </c>
      <c r="U32" s="13">
        <v>0.48</v>
      </c>
      <c r="V32" s="13">
        <v>0.48</v>
      </c>
      <c r="W32" s="13">
        <v>0.48</v>
      </c>
      <c r="X32" s="13">
        <v>0.48</v>
      </c>
      <c r="Y32" s="13">
        <v>0.47</v>
      </c>
      <c r="Z32" s="14">
        <f t="shared" si="14"/>
        <v>0.47666666666666663</v>
      </c>
      <c r="AA32" s="14">
        <f t="shared" si="15"/>
        <v>0.47666666666666657</v>
      </c>
    </row>
    <row r="33" spans="1:27" x14ac:dyDescent="0.4">
      <c r="A33" s="1" t="s">
        <v>7</v>
      </c>
      <c r="B33" s="13">
        <v>0.42</v>
      </c>
      <c r="C33" s="13">
        <v>0.42</v>
      </c>
      <c r="D33" s="13">
        <v>0.43</v>
      </c>
      <c r="E33" s="13">
        <v>0.44</v>
      </c>
      <c r="F33" s="13">
        <v>0.43</v>
      </c>
      <c r="G33" s="13">
        <v>0.43</v>
      </c>
      <c r="H33" s="14">
        <f t="shared" si="10"/>
        <v>0.42333333333333334</v>
      </c>
      <c r="I33" s="14">
        <f t="shared" si="11"/>
        <v>0.4283333333333334</v>
      </c>
      <c r="K33" s="13">
        <v>0.47</v>
      </c>
      <c r="L33" s="13">
        <v>0.47</v>
      </c>
      <c r="M33" s="13">
        <v>0.48</v>
      </c>
      <c r="N33" s="13">
        <v>0.47</v>
      </c>
      <c r="O33" s="13">
        <v>0.47</v>
      </c>
      <c r="P33" s="13">
        <v>0.47</v>
      </c>
      <c r="Q33" s="14">
        <f t="shared" si="12"/>
        <v>0.47333333333333333</v>
      </c>
      <c r="R33" s="14">
        <f t="shared" si="13"/>
        <v>0.47166666666666668</v>
      </c>
      <c r="T33" s="13">
        <v>0.43</v>
      </c>
      <c r="U33" s="13">
        <v>0.44</v>
      </c>
      <c r="V33" s="13">
        <v>0.44</v>
      </c>
      <c r="W33" s="13">
        <v>0.45</v>
      </c>
      <c r="X33" s="13">
        <v>0.44</v>
      </c>
      <c r="Y33" s="13">
        <v>0.44</v>
      </c>
      <c r="Z33" s="14">
        <f t="shared" si="14"/>
        <v>0.4366666666666667</v>
      </c>
      <c r="AA33" s="14">
        <f t="shared" si="15"/>
        <v>0.44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8132-B6C2-4193-8339-03B76C34E00D}">
  <dimension ref="A1:AC24"/>
  <sheetViews>
    <sheetView workbookViewId="0">
      <selection activeCell="E20" sqref="E20"/>
    </sheetView>
  </sheetViews>
  <sheetFormatPr defaultRowHeight="14.6" x14ac:dyDescent="0.4"/>
  <cols>
    <col min="1" max="1" width="11.53515625" customWidth="1"/>
    <col min="8" max="9" width="9.84375" bestFit="1" customWidth="1"/>
  </cols>
  <sheetData>
    <row r="1" spans="1:29" x14ac:dyDescent="0.4">
      <c r="A1" s="51" t="s">
        <v>20</v>
      </c>
      <c r="B1" s="51"/>
      <c r="C1" s="51"/>
      <c r="D1" s="51"/>
    </row>
    <row r="2" spans="1:29" x14ac:dyDescent="0.4">
      <c r="A2" s="52" t="s">
        <v>21</v>
      </c>
      <c r="B2" s="52"/>
      <c r="C2" s="52"/>
      <c r="D2" s="18"/>
    </row>
    <row r="3" spans="1:29" x14ac:dyDescent="0.4">
      <c r="A3" s="30" t="s">
        <v>22</v>
      </c>
      <c r="B3" s="21" t="s">
        <v>1</v>
      </c>
      <c r="H3" s="22" t="s">
        <v>9</v>
      </c>
      <c r="I3" s="22" t="s">
        <v>8</v>
      </c>
      <c r="K3" s="29" t="s">
        <v>23</v>
      </c>
      <c r="L3" s="21" t="s">
        <v>1</v>
      </c>
      <c r="R3" s="22" t="s">
        <v>9</v>
      </c>
      <c r="S3" s="22" t="s">
        <v>8</v>
      </c>
      <c r="U3" s="28" t="s">
        <v>13</v>
      </c>
      <c r="V3" s="26" t="s">
        <v>1</v>
      </c>
      <c r="AB3" s="27" t="s">
        <v>9</v>
      </c>
      <c r="AC3" s="27" t="s">
        <v>8</v>
      </c>
    </row>
    <row r="4" spans="1:29" x14ac:dyDescent="0.4">
      <c r="A4" s="30" t="s">
        <v>30</v>
      </c>
      <c r="B4" s="49">
        <v>0.42</v>
      </c>
      <c r="C4" s="49">
        <v>0.39</v>
      </c>
      <c r="D4" s="49">
        <v>0.41</v>
      </c>
      <c r="E4" s="49"/>
      <c r="F4" s="49"/>
      <c r="G4" s="49"/>
      <c r="H4" s="50">
        <f>AVERAGE(B4:D4)</f>
        <v>0.40666666666666668</v>
      </c>
      <c r="I4" s="50">
        <f>AVERAGE(B4:G4)</f>
        <v>0.40666666666666668</v>
      </c>
      <c r="K4" s="29"/>
      <c r="L4" s="21"/>
      <c r="R4" s="22"/>
      <c r="S4" s="22"/>
      <c r="U4" s="28"/>
      <c r="V4" s="26"/>
      <c r="AB4" s="27"/>
      <c r="AC4" s="27"/>
    </row>
    <row r="5" spans="1:29" x14ac:dyDescent="0.4">
      <c r="A5" t="s">
        <v>2</v>
      </c>
      <c r="B5" s="19">
        <v>2.27</v>
      </c>
      <c r="C5" s="19">
        <v>2.23</v>
      </c>
      <c r="D5" s="19">
        <v>2.08</v>
      </c>
      <c r="E5" s="19"/>
      <c r="F5" s="19"/>
      <c r="G5" s="19"/>
      <c r="H5" s="20">
        <f>AVERAGE(B5:D5)</f>
        <v>2.1933333333333334</v>
      </c>
      <c r="I5" s="20">
        <f>AVERAGE(B5:G5)</f>
        <v>2.1933333333333334</v>
      </c>
      <c r="K5" t="s">
        <v>2</v>
      </c>
      <c r="L5" s="23">
        <v>2.76</v>
      </c>
      <c r="M5" s="23">
        <v>2.9</v>
      </c>
      <c r="N5" s="23">
        <v>2.92</v>
      </c>
      <c r="O5" s="23">
        <v>2.82</v>
      </c>
      <c r="P5" s="23"/>
      <c r="Q5" s="23"/>
      <c r="R5" s="24">
        <f>AVERAGE(L5:N5)</f>
        <v>2.86</v>
      </c>
      <c r="S5" s="24">
        <f>AVERAGE(L5:Q5)</f>
        <v>2.85</v>
      </c>
      <c r="U5" t="s">
        <v>2</v>
      </c>
      <c r="V5" s="21">
        <v>2.5099999999999998</v>
      </c>
      <c r="W5" s="21">
        <v>2.7</v>
      </c>
      <c r="X5" s="21">
        <v>2.65</v>
      </c>
      <c r="Y5" s="21">
        <v>2.65</v>
      </c>
      <c r="Z5" s="21">
        <v>2.64</v>
      </c>
      <c r="AA5" s="21"/>
      <c r="AB5" s="25">
        <f>AVERAGE(V5:Z5)</f>
        <v>2.63</v>
      </c>
      <c r="AC5" s="25">
        <f>AVERAGE(V5:AA5)</f>
        <v>2.63</v>
      </c>
    </row>
    <row r="6" spans="1:29" x14ac:dyDescent="0.4">
      <c r="A6" s="1" t="s">
        <v>3</v>
      </c>
      <c r="B6" s="19">
        <v>1.86</v>
      </c>
      <c r="C6" s="19">
        <v>1.87</v>
      </c>
      <c r="D6" s="19">
        <v>1.86</v>
      </c>
      <c r="E6" s="19"/>
      <c r="F6" s="19"/>
      <c r="G6" s="19"/>
      <c r="H6" s="20">
        <f t="shared" ref="H6" si="0">AVERAGE(B6:D6)</f>
        <v>1.8633333333333335</v>
      </c>
      <c r="I6" s="20">
        <f t="shared" ref="I6:I8" si="1">AVERAGE(B6:G6)</f>
        <v>1.8633333333333335</v>
      </c>
      <c r="K6" s="1" t="s">
        <v>3</v>
      </c>
      <c r="L6" s="23">
        <v>1.82</v>
      </c>
      <c r="M6" s="23">
        <v>1.89</v>
      </c>
      <c r="N6" s="23">
        <v>1.79</v>
      </c>
      <c r="O6" s="23"/>
      <c r="P6" s="23"/>
      <c r="Q6" s="23"/>
      <c r="R6" s="24">
        <f t="shared" ref="R6:R8" si="2">AVERAGE(L6:N6)</f>
        <v>1.8333333333333333</v>
      </c>
      <c r="S6" s="24">
        <f t="shared" ref="S6:S8" si="3">AVERAGE(L6:Q6)</f>
        <v>1.8333333333333333</v>
      </c>
      <c r="U6" s="1" t="s">
        <v>3</v>
      </c>
      <c r="V6" s="21">
        <v>1.74</v>
      </c>
      <c r="W6" s="21">
        <v>1.77</v>
      </c>
      <c r="X6" s="21">
        <v>1.76</v>
      </c>
      <c r="Y6" s="21">
        <v>1.76</v>
      </c>
      <c r="Z6" s="21">
        <v>1.75</v>
      </c>
      <c r="AA6" s="21"/>
      <c r="AB6" s="25">
        <f>AVERAGE(V6:Z6)</f>
        <v>1.7559999999999998</v>
      </c>
      <c r="AC6" s="25">
        <f t="shared" ref="AC6:AC8" si="4">AVERAGE(V6:AA6)</f>
        <v>1.7559999999999998</v>
      </c>
    </row>
    <row r="7" spans="1:29" x14ac:dyDescent="0.4">
      <c r="A7" s="1" t="s">
        <v>4</v>
      </c>
      <c r="B7" s="19">
        <v>1.17</v>
      </c>
      <c r="C7" s="19">
        <v>1.05</v>
      </c>
      <c r="D7" s="19">
        <v>1.03</v>
      </c>
      <c r="E7" s="19">
        <v>1</v>
      </c>
      <c r="F7" s="19">
        <v>1.04</v>
      </c>
      <c r="G7" s="19"/>
      <c r="H7" s="20">
        <f>AVERAGE(B7:F7)</f>
        <v>1.0580000000000001</v>
      </c>
      <c r="I7" s="20">
        <f t="shared" si="1"/>
        <v>1.0580000000000001</v>
      </c>
      <c r="K7" s="1" t="s">
        <v>4</v>
      </c>
      <c r="L7" s="23">
        <v>1.05</v>
      </c>
      <c r="M7" s="23">
        <v>1.07</v>
      </c>
      <c r="N7" s="23">
        <v>1.1100000000000001</v>
      </c>
      <c r="O7" s="23">
        <v>1.03</v>
      </c>
      <c r="P7" s="23"/>
      <c r="Q7" s="23"/>
      <c r="R7" s="24">
        <f t="shared" si="2"/>
        <v>1.0766666666666669</v>
      </c>
      <c r="S7" s="24">
        <f t="shared" si="3"/>
        <v>1.0650000000000002</v>
      </c>
      <c r="U7" s="1" t="s">
        <v>4</v>
      </c>
      <c r="V7" s="21">
        <v>0.92</v>
      </c>
      <c r="W7" s="21">
        <v>0.94</v>
      </c>
      <c r="X7" s="21">
        <v>0.95</v>
      </c>
      <c r="Y7" s="21">
        <v>0.96</v>
      </c>
      <c r="Z7" s="21">
        <v>0.96</v>
      </c>
      <c r="AA7" s="21"/>
      <c r="AB7" s="25">
        <f>AVERAGE(V7:Z7)</f>
        <v>0.94599999999999995</v>
      </c>
      <c r="AC7" s="25">
        <f t="shared" si="4"/>
        <v>0.94599999999999995</v>
      </c>
    </row>
    <row r="8" spans="1:29" x14ac:dyDescent="0.4">
      <c r="A8" s="1" t="s">
        <v>5</v>
      </c>
      <c r="B8" s="19">
        <v>0.83</v>
      </c>
      <c r="C8" s="19">
        <v>0.74</v>
      </c>
      <c r="D8" s="19">
        <v>0.71</v>
      </c>
      <c r="E8" s="19">
        <v>0.72</v>
      </c>
      <c r="F8" s="19"/>
      <c r="G8" s="19"/>
      <c r="H8" s="20">
        <f>AVERAGE(B8:E8)</f>
        <v>0.75</v>
      </c>
      <c r="I8" s="20">
        <f t="shared" si="1"/>
        <v>0.75</v>
      </c>
      <c r="K8" s="1" t="s">
        <v>5</v>
      </c>
      <c r="L8" s="23">
        <v>0.74</v>
      </c>
      <c r="M8" s="23">
        <v>0.79</v>
      </c>
      <c r="N8" s="23">
        <v>0.7</v>
      </c>
      <c r="O8" s="23">
        <v>0.8</v>
      </c>
      <c r="P8" s="23"/>
      <c r="Q8" s="23"/>
      <c r="R8" s="24">
        <f t="shared" si="2"/>
        <v>0.74333333333333329</v>
      </c>
      <c r="S8" s="24">
        <f t="shared" si="3"/>
        <v>0.75750000000000006</v>
      </c>
      <c r="U8" s="1" t="s">
        <v>5</v>
      </c>
      <c r="V8" s="21">
        <v>0.65</v>
      </c>
      <c r="W8" s="21">
        <v>0.66</v>
      </c>
      <c r="X8" s="21">
        <v>0.66</v>
      </c>
      <c r="Y8" s="21">
        <v>0.67</v>
      </c>
      <c r="Z8" s="21"/>
      <c r="AA8" s="21"/>
      <c r="AB8" s="25">
        <f>AVERAGE(V8:Y8)</f>
        <v>0.66</v>
      </c>
      <c r="AC8" s="25">
        <f t="shared" si="4"/>
        <v>0.66</v>
      </c>
    </row>
    <row r="10" spans="1:29" x14ac:dyDescent="0.4">
      <c r="A10" s="53" t="s">
        <v>24</v>
      </c>
      <c r="B10" s="53"/>
      <c r="C10" s="53"/>
    </row>
    <row r="11" spans="1:29" x14ac:dyDescent="0.4">
      <c r="A11" s="35" t="s">
        <v>22</v>
      </c>
      <c r="B11" s="33" t="s">
        <v>1</v>
      </c>
      <c r="H11" s="34" t="s">
        <v>9</v>
      </c>
      <c r="I11" s="34" t="s">
        <v>8</v>
      </c>
      <c r="K11" s="36" t="s">
        <v>26</v>
      </c>
      <c r="L11" s="38" t="s">
        <v>1</v>
      </c>
      <c r="R11" s="39" t="s">
        <v>9</v>
      </c>
      <c r="S11" s="39" t="s">
        <v>8</v>
      </c>
      <c r="U11" s="40" t="s">
        <v>13</v>
      </c>
      <c r="V11" s="31" t="s">
        <v>1</v>
      </c>
      <c r="AB11" s="42" t="s">
        <v>9</v>
      </c>
      <c r="AC11" s="42" t="s">
        <v>8</v>
      </c>
    </row>
    <row r="12" spans="1:29" x14ac:dyDescent="0.4">
      <c r="A12" s="35" t="s">
        <v>30</v>
      </c>
      <c r="B12" s="49">
        <v>0.4</v>
      </c>
      <c r="C12" s="49">
        <v>0.4</v>
      </c>
      <c r="D12" s="49">
        <v>0.38</v>
      </c>
      <c r="E12" s="49"/>
      <c r="F12" s="49"/>
      <c r="G12" s="49"/>
      <c r="H12" s="50">
        <f>AVERAGE(B12:D12)</f>
        <v>0.39333333333333337</v>
      </c>
      <c r="I12" s="50">
        <f>AVERAGE(B12:G12)</f>
        <v>0.39333333333333337</v>
      </c>
      <c r="K12" s="36"/>
      <c r="L12" s="38"/>
      <c r="R12" s="39"/>
      <c r="S12" s="39"/>
      <c r="U12" s="40"/>
      <c r="V12" s="31"/>
      <c r="AB12" s="42"/>
      <c r="AC12" s="42"/>
    </row>
    <row r="13" spans="1:29" x14ac:dyDescent="0.4">
      <c r="A13" t="s">
        <v>2</v>
      </c>
      <c r="B13" s="31">
        <v>2.99</v>
      </c>
      <c r="C13" s="31">
        <v>2.95</v>
      </c>
      <c r="D13" s="31">
        <v>2.91</v>
      </c>
      <c r="E13" s="31"/>
      <c r="F13" s="31"/>
      <c r="G13" s="31"/>
      <c r="H13" s="32">
        <f>AVERAGE(B13:D13)</f>
        <v>2.9500000000000006</v>
      </c>
      <c r="I13" s="32">
        <f>AVERAGE(B13:G13)</f>
        <v>2.9500000000000006</v>
      </c>
      <c r="K13" t="s">
        <v>2</v>
      </c>
      <c r="L13" s="33">
        <v>2.96</v>
      </c>
      <c r="M13" s="33">
        <v>2.5299999999999998</v>
      </c>
      <c r="N13" s="33">
        <v>2.77</v>
      </c>
      <c r="O13" s="33">
        <v>2.66</v>
      </c>
      <c r="P13" s="33"/>
      <c r="Q13" s="33"/>
      <c r="R13" s="37">
        <f>AVERAGE(L13:O13)</f>
        <v>2.73</v>
      </c>
      <c r="S13" s="37">
        <f>AVERAGE(L13:Q13)</f>
        <v>2.73</v>
      </c>
      <c r="U13" t="s">
        <v>2</v>
      </c>
      <c r="V13" s="38">
        <v>2.75</v>
      </c>
      <c r="W13" s="38">
        <v>2.79</v>
      </c>
      <c r="X13" s="38">
        <v>2.8</v>
      </c>
      <c r="Y13" s="38">
        <v>2.8</v>
      </c>
      <c r="Z13" s="38">
        <v>2.8</v>
      </c>
      <c r="AA13" s="38"/>
      <c r="AB13" s="41">
        <f>AVERAGE(V13:Z13)</f>
        <v>2.7880000000000003</v>
      </c>
      <c r="AC13" s="41">
        <f>AVERAGE(V13:AA13)</f>
        <v>2.7880000000000003</v>
      </c>
    </row>
    <row r="14" spans="1:29" x14ac:dyDescent="0.4">
      <c r="A14" s="1" t="s">
        <v>3</v>
      </c>
      <c r="B14" s="31">
        <v>1.59</v>
      </c>
      <c r="C14" s="31">
        <v>1.64</v>
      </c>
      <c r="D14" s="31">
        <v>1.65</v>
      </c>
      <c r="E14" s="31">
        <v>1.64</v>
      </c>
      <c r="F14" s="31"/>
      <c r="G14" s="31"/>
      <c r="H14" s="32">
        <f>AVERAGE(B14:E14)</f>
        <v>1.63</v>
      </c>
      <c r="I14" s="32">
        <f t="shared" ref="I14:I16" si="5">AVERAGE(B14:G14)</f>
        <v>1.63</v>
      </c>
      <c r="K14" s="1" t="s">
        <v>3</v>
      </c>
      <c r="L14" s="33">
        <v>1.61</v>
      </c>
      <c r="M14" s="33">
        <v>1.51</v>
      </c>
      <c r="N14" s="33">
        <v>1.52</v>
      </c>
      <c r="O14" s="33">
        <v>1.67</v>
      </c>
      <c r="P14" s="33"/>
      <c r="Q14" s="33"/>
      <c r="R14" s="37">
        <f>AVERAGE(L14:O14)</f>
        <v>1.5775000000000001</v>
      </c>
      <c r="S14" s="37">
        <f t="shared" ref="S14:S16" si="6">AVERAGE(L14:Q14)</f>
        <v>1.5775000000000001</v>
      </c>
      <c r="U14" s="1" t="s">
        <v>3</v>
      </c>
      <c r="V14" s="38">
        <v>1.58</v>
      </c>
      <c r="W14" s="38">
        <v>1.59</v>
      </c>
      <c r="X14" s="38">
        <v>1.65</v>
      </c>
      <c r="Y14" s="38">
        <v>1.66</v>
      </c>
      <c r="Z14" s="38">
        <v>1.67</v>
      </c>
      <c r="AA14" s="38"/>
      <c r="AB14" s="41">
        <f>AVERAGE(V14:Z14)</f>
        <v>1.6300000000000001</v>
      </c>
      <c r="AC14" s="41">
        <f t="shared" ref="AC14:AC16" si="7">AVERAGE(V14:AA14)</f>
        <v>1.6300000000000001</v>
      </c>
    </row>
    <row r="15" spans="1:29" x14ac:dyDescent="0.4">
      <c r="A15" s="1" t="s">
        <v>4</v>
      </c>
      <c r="B15" s="31">
        <v>1</v>
      </c>
      <c r="C15" s="31">
        <v>1.1200000000000001</v>
      </c>
      <c r="D15" s="31">
        <v>1.04</v>
      </c>
      <c r="E15" s="31">
        <v>1.05</v>
      </c>
      <c r="F15" s="31"/>
      <c r="G15" s="31"/>
      <c r="H15" s="32">
        <f>AVERAGE(B15:E15)</f>
        <v>1.0525</v>
      </c>
      <c r="I15" s="32">
        <f t="shared" si="5"/>
        <v>1.0525</v>
      </c>
      <c r="K15" s="1" t="s">
        <v>4</v>
      </c>
      <c r="L15" s="33">
        <v>1.04</v>
      </c>
      <c r="M15" s="33">
        <v>1.02</v>
      </c>
      <c r="N15" s="33">
        <v>0.95</v>
      </c>
      <c r="O15" s="33">
        <v>1.06</v>
      </c>
      <c r="P15" s="33"/>
      <c r="Q15" s="33"/>
      <c r="R15" s="37">
        <f>AVERAGE(L15:O15)</f>
        <v>1.0175000000000001</v>
      </c>
      <c r="S15" s="37">
        <f t="shared" si="6"/>
        <v>1.0175000000000001</v>
      </c>
      <c r="U15" s="1" t="s">
        <v>4</v>
      </c>
      <c r="V15" s="38">
        <v>1.08</v>
      </c>
      <c r="W15" s="38">
        <v>1.08</v>
      </c>
      <c r="X15" s="38">
        <v>1.0900000000000001</v>
      </c>
      <c r="Y15" s="38">
        <v>0.96</v>
      </c>
      <c r="Z15" s="38">
        <v>1.03</v>
      </c>
      <c r="AA15" s="38">
        <v>1.05</v>
      </c>
      <c r="AB15" s="41">
        <f>AVERAGE(V15:AA15)</f>
        <v>1.0483333333333333</v>
      </c>
      <c r="AC15" s="41">
        <f t="shared" si="7"/>
        <v>1.0483333333333333</v>
      </c>
    </row>
    <row r="16" spans="1:29" x14ac:dyDescent="0.4">
      <c r="A16" s="1" t="s">
        <v>5</v>
      </c>
      <c r="B16" s="31">
        <v>0.67</v>
      </c>
      <c r="C16" s="31">
        <v>0.65</v>
      </c>
      <c r="D16" s="31">
        <v>0.69</v>
      </c>
      <c r="E16" s="31">
        <v>0.68</v>
      </c>
      <c r="F16" s="31"/>
      <c r="G16" s="31"/>
      <c r="H16" s="32">
        <f>AVERAGE(B16:E16)</f>
        <v>0.67249999999999999</v>
      </c>
      <c r="I16" s="32">
        <f t="shared" si="5"/>
        <v>0.67249999999999999</v>
      </c>
      <c r="K16" s="1" t="s">
        <v>5</v>
      </c>
      <c r="L16" s="33">
        <v>0.69</v>
      </c>
      <c r="M16" s="33">
        <v>0.73</v>
      </c>
      <c r="N16" s="33">
        <v>0.68</v>
      </c>
      <c r="O16" s="33">
        <v>0.71</v>
      </c>
      <c r="P16" s="33"/>
      <c r="Q16" s="33"/>
      <c r="R16" s="37">
        <f>AVERAGE(L16:O16)</f>
        <v>0.70250000000000001</v>
      </c>
      <c r="S16" s="37">
        <f t="shared" si="6"/>
        <v>0.70250000000000001</v>
      </c>
      <c r="U16" s="1" t="s">
        <v>5</v>
      </c>
      <c r="V16" s="38">
        <v>0.73</v>
      </c>
      <c r="W16" s="38">
        <v>0.74</v>
      </c>
      <c r="X16" s="38">
        <v>0.75</v>
      </c>
      <c r="Y16" s="38">
        <v>0.73</v>
      </c>
      <c r="Z16" s="38">
        <v>0.74</v>
      </c>
      <c r="AA16" s="38"/>
      <c r="AB16" s="41">
        <f>AVERAGE(V16:Z16)</f>
        <v>0.73799999999999988</v>
      </c>
      <c r="AC16" s="41">
        <f t="shared" si="7"/>
        <v>0.73799999999999988</v>
      </c>
    </row>
    <row r="18" spans="1:29" x14ac:dyDescent="0.4">
      <c r="A18" s="54" t="s">
        <v>25</v>
      </c>
      <c r="B18" s="54"/>
      <c r="C18" s="54"/>
    </row>
    <row r="19" spans="1:29" x14ac:dyDescent="0.4">
      <c r="A19" s="6" t="s">
        <v>22</v>
      </c>
      <c r="B19" s="2" t="s">
        <v>1</v>
      </c>
      <c r="H19" s="4" t="s">
        <v>9</v>
      </c>
      <c r="I19" s="4" t="s">
        <v>8</v>
      </c>
      <c r="K19" s="6" t="s">
        <v>26</v>
      </c>
      <c r="L19" s="12" t="s">
        <v>1</v>
      </c>
      <c r="M19" s="12"/>
      <c r="N19" s="12"/>
      <c r="O19" s="12"/>
      <c r="P19" s="12"/>
      <c r="Q19" s="12"/>
      <c r="R19" s="44" t="s">
        <v>9</v>
      </c>
      <c r="S19" s="44" t="s">
        <v>8</v>
      </c>
      <c r="U19" s="6" t="s">
        <v>27</v>
      </c>
      <c r="V19" s="3" t="s">
        <v>1</v>
      </c>
      <c r="AB19" s="45" t="s">
        <v>9</v>
      </c>
      <c r="AC19" s="45" t="s">
        <v>8</v>
      </c>
    </row>
    <row r="20" spans="1:29" x14ac:dyDescent="0.4">
      <c r="A20" s="6" t="s">
        <v>30</v>
      </c>
      <c r="B20" s="49">
        <v>0.42</v>
      </c>
      <c r="C20" s="49">
        <v>0.45</v>
      </c>
      <c r="D20" s="49">
        <v>0.42</v>
      </c>
      <c r="E20" s="49"/>
      <c r="F20" s="49"/>
      <c r="G20" s="49"/>
      <c r="H20" s="50">
        <f>AVERAGE(B20:D20)</f>
        <v>0.43</v>
      </c>
      <c r="I20" s="50">
        <f>AVERAGE(B20:G20)</f>
        <v>0.43</v>
      </c>
      <c r="K20" s="6"/>
      <c r="L20" s="12"/>
      <c r="M20" s="12"/>
      <c r="N20" s="12"/>
      <c r="O20" s="12"/>
      <c r="P20" s="12"/>
      <c r="Q20" s="12"/>
      <c r="R20" s="44"/>
      <c r="S20" s="44"/>
      <c r="U20" s="6"/>
      <c r="V20" s="3"/>
      <c r="AB20" s="45"/>
      <c r="AC20" s="45"/>
    </row>
    <row r="21" spans="1:29" x14ac:dyDescent="0.4">
      <c r="A21" t="s">
        <v>2</v>
      </c>
      <c r="B21" s="3">
        <v>2.96</v>
      </c>
      <c r="C21" s="3">
        <v>2.71</v>
      </c>
      <c r="D21" s="3">
        <v>2.85</v>
      </c>
      <c r="E21" s="3">
        <v>3.02</v>
      </c>
      <c r="F21" s="3"/>
      <c r="G21" s="3"/>
      <c r="H21" s="5">
        <f>AVERAGE(B21:E21)</f>
        <v>2.8849999999999998</v>
      </c>
      <c r="I21" s="5">
        <f>AVERAGE(B21:G21)</f>
        <v>2.8849999999999998</v>
      </c>
      <c r="K21" t="s">
        <v>2</v>
      </c>
      <c r="L21" s="2">
        <v>3.25</v>
      </c>
      <c r="M21" s="2">
        <v>3.16</v>
      </c>
      <c r="N21" s="2">
        <v>3.06</v>
      </c>
      <c r="O21" s="2">
        <v>3.22</v>
      </c>
      <c r="P21" s="2"/>
      <c r="Q21" s="2"/>
      <c r="R21" s="43">
        <f>AVERAGE(L21:O21)</f>
        <v>3.1725000000000003</v>
      </c>
      <c r="S21" s="43">
        <f>AVERAGE(L21:Q21)</f>
        <v>3.1725000000000003</v>
      </c>
      <c r="U21" t="s">
        <v>2</v>
      </c>
      <c r="V21" s="10">
        <v>4</v>
      </c>
      <c r="W21" s="10">
        <v>4</v>
      </c>
      <c r="X21" s="10">
        <v>4</v>
      </c>
      <c r="Y21" s="10">
        <v>4</v>
      </c>
      <c r="Z21" s="10"/>
      <c r="AA21" s="10"/>
      <c r="AB21" s="11">
        <f>AVERAGE(V21:Y21)</f>
        <v>4</v>
      </c>
      <c r="AC21" s="11">
        <f>AVERAGE(V21:AA21)</f>
        <v>4</v>
      </c>
    </row>
    <row r="22" spans="1:29" x14ac:dyDescent="0.4">
      <c r="A22" s="1" t="s">
        <v>3</v>
      </c>
      <c r="B22" s="3">
        <v>1.69</v>
      </c>
      <c r="C22" s="3">
        <v>1.64</v>
      </c>
      <c r="D22" s="3">
        <v>1.75</v>
      </c>
      <c r="E22" s="3">
        <v>1.7</v>
      </c>
      <c r="F22" s="3"/>
      <c r="G22" s="3"/>
      <c r="H22" s="5">
        <f>AVERAGE(B22:E22)</f>
        <v>1.6950000000000001</v>
      </c>
      <c r="I22" s="5">
        <f t="shared" ref="I22:I24" si="8">AVERAGE(B22:G22)</f>
        <v>1.6950000000000001</v>
      </c>
      <c r="K22" s="1" t="s">
        <v>3</v>
      </c>
      <c r="L22" s="2">
        <v>1.86</v>
      </c>
      <c r="M22" s="2">
        <v>1.69</v>
      </c>
      <c r="N22" s="2">
        <v>1.79</v>
      </c>
      <c r="O22" s="2">
        <v>1.72</v>
      </c>
      <c r="P22" s="2"/>
      <c r="Q22" s="2"/>
      <c r="R22" s="43">
        <f>AVERAGE(L22:O22)</f>
        <v>1.7649999999999999</v>
      </c>
      <c r="S22" s="43">
        <f t="shared" ref="S22:S24" si="9">AVERAGE(L22:Q22)</f>
        <v>1.7649999999999999</v>
      </c>
      <c r="U22" s="1" t="s">
        <v>3</v>
      </c>
      <c r="V22" s="10">
        <v>2.41</v>
      </c>
      <c r="W22" s="10">
        <v>2.4500000000000002</v>
      </c>
      <c r="X22" s="10">
        <v>2.46</v>
      </c>
      <c r="Y22" s="10">
        <v>2.46</v>
      </c>
      <c r="Z22" s="10">
        <v>2.4700000000000002</v>
      </c>
      <c r="AA22" s="10"/>
      <c r="AB22" s="11">
        <f>AVERAGE(V22:Z22)</f>
        <v>2.4500000000000002</v>
      </c>
      <c r="AC22" s="11">
        <f t="shared" ref="AC22:AC24" si="10">AVERAGE(V22:AA22)</f>
        <v>2.4500000000000002</v>
      </c>
    </row>
    <row r="23" spans="1:29" x14ac:dyDescent="0.4">
      <c r="A23" s="1" t="s">
        <v>4</v>
      </c>
      <c r="B23" s="3">
        <v>1.1499999999999999</v>
      </c>
      <c r="C23" s="3">
        <v>1.03</v>
      </c>
      <c r="D23" s="3">
        <v>1.04</v>
      </c>
      <c r="E23" s="3">
        <v>1.07</v>
      </c>
      <c r="F23" s="3"/>
      <c r="G23" s="3"/>
      <c r="H23" s="5">
        <f>AVERAGE(B23:E23)</f>
        <v>1.0725</v>
      </c>
      <c r="I23" s="5">
        <f t="shared" si="8"/>
        <v>1.0725</v>
      </c>
      <c r="K23" s="1" t="s">
        <v>4</v>
      </c>
      <c r="L23" s="2">
        <v>1.1000000000000001</v>
      </c>
      <c r="M23" s="2">
        <v>1.1000000000000001</v>
      </c>
      <c r="N23" s="2">
        <v>1.1200000000000001</v>
      </c>
      <c r="O23" s="2">
        <v>1.1299999999999999</v>
      </c>
      <c r="P23" s="2"/>
      <c r="Q23" s="2"/>
      <c r="R23" s="43">
        <f>AVERAGE(L23:O23)</f>
        <v>1.1125</v>
      </c>
      <c r="S23" s="43">
        <f t="shared" si="9"/>
        <v>1.1125</v>
      </c>
      <c r="U23" s="1" t="s">
        <v>4</v>
      </c>
      <c r="V23" s="10">
        <v>1.48</v>
      </c>
      <c r="W23" s="10">
        <v>1.47</v>
      </c>
      <c r="X23" s="10">
        <v>1.48</v>
      </c>
      <c r="Y23" s="10">
        <v>1.48</v>
      </c>
      <c r="Z23" s="10"/>
      <c r="AA23" s="10"/>
      <c r="AB23" s="11">
        <f>AVERAGE(V23:Y23)</f>
        <v>1.4775</v>
      </c>
      <c r="AC23" s="11">
        <f t="shared" si="10"/>
        <v>1.4775</v>
      </c>
    </row>
    <row r="24" spans="1:29" x14ac:dyDescent="0.4">
      <c r="A24" s="1" t="s">
        <v>5</v>
      </c>
      <c r="B24" s="3">
        <v>0.71</v>
      </c>
      <c r="C24" s="3">
        <v>0.67</v>
      </c>
      <c r="D24" s="3">
        <v>0.7</v>
      </c>
      <c r="E24" s="3">
        <v>0.72</v>
      </c>
      <c r="F24" s="3"/>
      <c r="G24" s="3"/>
      <c r="H24" s="5">
        <f>AVERAGE(B24:E24)</f>
        <v>0.7</v>
      </c>
      <c r="I24" s="5">
        <f t="shared" si="8"/>
        <v>0.7</v>
      </c>
      <c r="K24" s="1" t="s">
        <v>5</v>
      </c>
      <c r="L24" s="2">
        <v>0.74</v>
      </c>
      <c r="M24" s="2">
        <v>0.76</v>
      </c>
      <c r="N24" s="2">
        <v>0.71</v>
      </c>
      <c r="O24" s="2">
        <v>0.71</v>
      </c>
      <c r="P24" s="2"/>
      <c r="Q24" s="2"/>
      <c r="R24" s="43">
        <f>AVERAGE(L24:O24)</f>
        <v>0.73</v>
      </c>
      <c r="S24" s="43">
        <f t="shared" si="9"/>
        <v>0.73</v>
      </c>
      <c r="U24" s="1" t="s">
        <v>5</v>
      </c>
      <c r="V24" s="10">
        <v>1.04</v>
      </c>
      <c r="W24" s="10">
        <v>1.04</v>
      </c>
      <c r="X24" s="10">
        <v>1.01</v>
      </c>
      <c r="Y24" s="10">
        <v>1.01</v>
      </c>
      <c r="Z24" s="10">
        <v>1.02</v>
      </c>
      <c r="AA24" s="10"/>
      <c r="AB24" s="11">
        <f>AVERAGE(V24:Z24)</f>
        <v>1.0239999999999998</v>
      </c>
      <c r="AC24" s="11">
        <f t="shared" si="10"/>
        <v>1.0239999999999998</v>
      </c>
    </row>
  </sheetData>
  <mergeCells count="4">
    <mergeCell ref="A1:D1"/>
    <mergeCell ref="A2:C2"/>
    <mergeCell ref="A10:C10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DensiCheck_culturi</vt:lpstr>
      <vt:lpstr>DensiCheck_AB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Dumitras</cp:lastModifiedBy>
  <dcterms:created xsi:type="dcterms:W3CDTF">2015-06-05T18:17:20Z</dcterms:created>
  <dcterms:modified xsi:type="dcterms:W3CDTF">2025-12-16T20:02:40Z</dcterms:modified>
</cp:coreProperties>
</file>