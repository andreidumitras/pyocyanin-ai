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ndre\Desktop\STUFF\PhD\ElectroChemial-AI\"/>
    </mc:Choice>
  </mc:AlternateContent>
  <xr:revisionPtr revIDLastSave="0" documentId="13_ncr:1_{A86D6A6F-ED90-4CC7-8C84-146668C2B51F}" xr6:coauthVersionLast="47" xr6:coauthVersionMax="47" xr10:uidLastSave="{00000000-0000-0000-0000-000000000000}"/>
  <bookViews>
    <workbookView xWindow="-103" yWindow="-103" windowWidth="29829" windowHeight="18000" xr2:uid="{00000000-000D-0000-FFFF-FFFF00000000}"/>
  </bookViews>
  <sheets>
    <sheet name="DensiCheck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" i="2" l="1"/>
  <c r="AA24" i="2"/>
  <c r="AA25" i="2"/>
  <c r="AA26" i="2"/>
  <c r="AA27" i="2"/>
  <c r="AA22" i="2"/>
  <c r="Z23" i="2"/>
  <c r="Z24" i="2"/>
  <c r="Z25" i="2"/>
  <c r="Z26" i="2"/>
  <c r="Z27" i="2"/>
  <c r="Z22" i="2"/>
  <c r="R23" i="2"/>
  <c r="R24" i="2"/>
  <c r="R25" i="2"/>
  <c r="R26" i="2"/>
  <c r="R27" i="2"/>
  <c r="R22" i="2"/>
  <c r="Q23" i="2"/>
  <c r="Q24" i="2"/>
  <c r="Q25" i="2"/>
  <c r="Q26" i="2"/>
  <c r="Q27" i="2"/>
  <c r="Q22" i="2"/>
  <c r="I23" i="2"/>
  <c r="I24" i="2"/>
  <c r="I25" i="2"/>
  <c r="I26" i="2"/>
  <c r="I27" i="2"/>
  <c r="I22" i="2"/>
  <c r="H23" i="2"/>
  <c r="H24" i="2"/>
  <c r="H25" i="2"/>
  <c r="H26" i="2"/>
  <c r="H27" i="2"/>
  <c r="H22" i="2"/>
  <c r="R12" i="2"/>
  <c r="R13" i="2"/>
  <c r="R14" i="2"/>
  <c r="R15" i="2"/>
  <c r="R16" i="2"/>
  <c r="R17" i="2"/>
  <c r="R18" i="2"/>
  <c r="R11" i="2"/>
  <c r="Q12" i="2"/>
  <c r="Q13" i="2"/>
  <c r="Q14" i="2"/>
  <c r="Q15" i="2"/>
  <c r="Q16" i="2"/>
  <c r="Q17" i="2"/>
  <c r="Q18" i="2"/>
  <c r="Q11" i="2"/>
  <c r="I12" i="2"/>
  <c r="I13" i="2"/>
  <c r="I14" i="2"/>
  <c r="I15" i="2"/>
  <c r="I16" i="2"/>
  <c r="I17" i="2"/>
  <c r="I18" i="2"/>
  <c r="I11" i="2"/>
  <c r="H12" i="2"/>
  <c r="H13" i="2"/>
  <c r="H14" i="2"/>
  <c r="H15" i="2"/>
  <c r="H16" i="2"/>
  <c r="H17" i="2"/>
  <c r="H18" i="2"/>
  <c r="H11" i="2"/>
  <c r="R4" i="2"/>
  <c r="R5" i="2"/>
  <c r="R6" i="2"/>
  <c r="R7" i="2"/>
  <c r="R8" i="2"/>
  <c r="R3" i="2"/>
  <c r="Q4" i="2"/>
  <c r="Q5" i="2"/>
  <c r="Q6" i="2"/>
  <c r="Q7" i="2"/>
  <c r="Q8" i="2"/>
  <c r="Q3" i="2"/>
  <c r="I4" i="2"/>
  <c r="I5" i="2"/>
  <c r="I6" i="2"/>
  <c r="I7" i="2"/>
  <c r="I8" i="2"/>
  <c r="I3" i="2"/>
  <c r="H4" i="2"/>
  <c r="H5" i="2"/>
  <c r="H6" i="2"/>
  <c r="H7" i="2"/>
  <c r="H8" i="2"/>
  <c r="H3" i="2"/>
</calcChain>
</file>

<file path=xl/sharedStrings.xml><?xml version="1.0" encoding="utf-8"?>
<sst xmlns="http://schemas.openxmlformats.org/spreadsheetml/2006/main" count="48" uniqueCount="21">
  <si>
    <t xml:space="preserve">26 iunie </t>
  </si>
  <si>
    <t>Sample 1</t>
  </si>
  <si>
    <t>Nediluat</t>
  </si>
  <si>
    <t>1/2</t>
  </si>
  <si>
    <t>1/4</t>
  </si>
  <si>
    <t>1/8</t>
  </si>
  <si>
    <t>1/16</t>
  </si>
  <si>
    <t>1/32</t>
  </si>
  <si>
    <t xml:space="preserve">Average </t>
  </si>
  <si>
    <t>Average 3</t>
  </si>
  <si>
    <t>Average</t>
  </si>
  <si>
    <t>Sample 2</t>
  </si>
  <si>
    <t>12 h</t>
  </si>
  <si>
    <t>24 h</t>
  </si>
  <si>
    <t>1/64</t>
  </si>
  <si>
    <t>1/128</t>
  </si>
  <si>
    <t>36 h</t>
  </si>
  <si>
    <t>Sample 3</t>
  </si>
  <si>
    <t>30 iulie</t>
  </si>
  <si>
    <t>Alta tulpină</t>
  </si>
  <si>
    <t>turbiditate corelata cu numarul de bacterii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</si>
</sst>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2" fontId="0" fillId="3" borderId="1" xfId="0" applyNumberFormat="1" applyFill="1" applyBorder="1"/>
    <xf numFmtId="0" fontId="2" fillId="0" borderId="0" xfId="0" applyFont="1"/>
    <xf numFmtId="49" fontId="1" fillId="0" borderId="0" xfId="0" applyNumberFormat="1" applyFont="1"/>
    <xf numFmtId="0" fontId="0" fillId="4" borderId="0" xfId="0" applyFill="1"/>
    <xf numFmtId="0" fontId="0" fillId="4" borderId="1" xfId="0" applyFill="1" applyBorder="1"/>
    <xf numFmtId="0" fontId="0" fillId="5" borderId="0" xfId="0" applyFill="1"/>
    <xf numFmtId="2" fontId="0" fillId="5" borderId="1" xfId="0" applyNumberFormat="1" applyFill="1" applyBorder="1"/>
    <xf numFmtId="0" fontId="0" fillId="6" borderId="0" xfId="0" applyFill="1"/>
    <xf numFmtId="0" fontId="0" fillId="7" borderId="0" xfId="0" applyFill="1"/>
    <xf numFmtId="2" fontId="0" fillId="7" borderId="1" xfId="0" applyNumberFormat="1" applyFill="1" applyBorder="1"/>
    <xf numFmtId="49" fontId="4" fillId="0" borderId="0" xfId="0" applyNumberFormat="1" applyFont="1"/>
    <xf numFmtId="2" fontId="0" fillId="0" borderId="0" xfId="0" applyNumberFormat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36E28-6467-4057-865A-C7D0D6740A7F}">
  <dimension ref="A1:AA27"/>
  <sheetViews>
    <sheetView tabSelected="1" zoomScale="129" zoomScaleNormal="117" workbookViewId="0">
      <selection activeCell="U21" sqref="U21"/>
    </sheetView>
  </sheetViews>
  <sheetFormatPr defaultRowHeight="14.6" x14ac:dyDescent="0.4"/>
  <cols>
    <col min="9" max="9" width="9.23046875" bestFit="1" customWidth="1"/>
    <col min="21" max="21" width="11.4609375" customWidth="1"/>
  </cols>
  <sheetData>
    <row r="1" spans="1:18" x14ac:dyDescent="0.4">
      <c r="A1" t="s">
        <v>0</v>
      </c>
      <c r="C1" t="s">
        <v>20</v>
      </c>
    </row>
    <row r="2" spans="1:18" x14ac:dyDescent="0.4">
      <c r="A2" s="6" t="s">
        <v>12</v>
      </c>
      <c r="B2" s="2" t="s">
        <v>1</v>
      </c>
      <c r="H2" s="4" t="s">
        <v>9</v>
      </c>
      <c r="I2" s="4" t="s">
        <v>8</v>
      </c>
      <c r="K2" s="2" t="s">
        <v>11</v>
      </c>
      <c r="Q2" s="4" t="s">
        <v>9</v>
      </c>
      <c r="R2" s="4" t="s">
        <v>10</v>
      </c>
    </row>
    <row r="3" spans="1:18" x14ac:dyDescent="0.4">
      <c r="A3" t="s">
        <v>2</v>
      </c>
      <c r="B3" s="3">
        <v>1.39</v>
      </c>
      <c r="C3" s="3">
        <v>1.38</v>
      </c>
      <c r="D3" s="3">
        <v>1.36</v>
      </c>
      <c r="E3" s="3">
        <v>1.4</v>
      </c>
      <c r="F3" s="3">
        <v>1.38</v>
      </c>
      <c r="G3" s="3">
        <v>1.4</v>
      </c>
      <c r="H3" s="5">
        <f>AVERAGE(B3:D3)</f>
        <v>1.3766666666666667</v>
      </c>
      <c r="I3" s="5">
        <f>AVERAGE(B3:G3)</f>
        <v>1.3849999999999998</v>
      </c>
      <c r="K3" s="3">
        <v>1.44</v>
      </c>
      <c r="L3" s="3">
        <v>1.49</v>
      </c>
      <c r="M3" s="3">
        <v>1.46</v>
      </c>
      <c r="N3" s="3">
        <v>1.4</v>
      </c>
      <c r="O3" s="3">
        <v>1.45</v>
      </c>
      <c r="P3" s="3">
        <v>1.35</v>
      </c>
      <c r="Q3" s="5">
        <f>AVERAGE(K3:M3)</f>
        <v>1.4633333333333332</v>
      </c>
      <c r="R3" s="5">
        <f>AVERAGE(K3:P3)</f>
        <v>1.4316666666666666</v>
      </c>
    </row>
    <row r="4" spans="1:18" x14ac:dyDescent="0.4">
      <c r="A4" s="1" t="s">
        <v>3</v>
      </c>
      <c r="B4" s="3">
        <v>0.86</v>
      </c>
      <c r="C4" s="3">
        <v>0.86</v>
      </c>
      <c r="D4" s="3">
        <v>0.91</v>
      </c>
      <c r="E4" s="3">
        <v>0.91</v>
      </c>
      <c r="F4" s="3">
        <v>0.94</v>
      </c>
      <c r="G4" s="3"/>
      <c r="H4" s="5">
        <f t="shared" ref="H4:H8" si="0">AVERAGE(B4:D4)</f>
        <v>0.87666666666666659</v>
      </c>
      <c r="I4" s="5">
        <f t="shared" ref="I4:I8" si="1">AVERAGE(B4:G4)</f>
        <v>0.89600000000000013</v>
      </c>
      <c r="K4" s="3">
        <v>0.96</v>
      </c>
      <c r="L4" s="3">
        <v>0.99</v>
      </c>
      <c r="M4" s="3">
        <v>0.99</v>
      </c>
      <c r="N4" s="3">
        <v>1.02</v>
      </c>
      <c r="O4" s="3">
        <v>1.06</v>
      </c>
      <c r="P4" s="3">
        <v>1.04</v>
      </c>
      <c r="Q4" s="5">
        <f t="shared" ref="Q4:Q8" si="2">AVERAGE(K4:M4)</f>
        <v>0.98</v>
      </c>
      <c r="R4" s="5">
        <f t="shared" ref="R4:R8" si="3">AVERAGE(K4:P4)</f>
        <v>1.01</v>
      </c>
    </row>
    <row r="5" spans="1:18" x14ac:dyDescent="0.4">
      <c r="A5" s="1" t="s">
        <v>4</v>
      </c>
      <c r="B5" s="3">
        <v>0.71</v>
      </c>
      <c r="C5" s="3">
        <v>0.72</v>
      </c>
      <c r="D5" s="3">
        <v>0.7</v>
      </c>
      <c r="E5" s="3">
        <v>0.66</v>
      </c>
      <c r="F5" s="3">
        <v>0.65</v>
      </c>
      <c r="G5" s="3">
        <v>0.63</v>
      </c>
      <c r="H5" s="5">
        <f t="shared" si="0"/>
        <v>0.71</v>
      </c>
      <c r="I5" s="5">
        <f t="shared" si="1"/>
        <v>0.67833333333333334</v>
      </c>
      <c r="K5" s="3">
        <v>0.61</v>
      </c>
      <c r="L5" s="3">
        <v>0.6</v>
      </c>
      <c r="M5" s="3">
        <v>0.57999999999999996</v>
      </c>
      <c r="N5" s="3">
        <v>0.61</v>
      </c>
      <c r="O5" s="3">
        <v>0.61</v>
      </c>
      <c r="P5" s="3">
        <v>0.6</v>
      </c>
      <c r="Q5" s="5">
        <f t="shared" si="2"/>
        <v>0.59666666666666668</v>
      </c>
      <c r="R5" s="5">
        <f t="shared" si="3"/>
        <v>0.60166666666666668</v>
      </c>
    </row>
    <row r="6" spans="1:18" x14ac:dyDescent="0.4">
      <c r="A6" s="1" t="s">
        <v>5</v>
      </c>
      <c r="B6" s="3">
        <v>0.51</v>
      </c>
      <c r="C6" s="3">
        <v>0.52</v>
      </c>
      <c r="D6" s="3">
        <v>0.5</v>
      </c>
      <c r="E6" s="3">
        <v>0.49</v>
      </c>
      <c r="F6" s="3">
        <v>0.48</v>
      </c>
      <c r="G6" s="3">
        <v>0.48</v>
      </c>
      <c r="H6" s="5">
        <f t="shared" si="0"/>
        <v>0.51</v>
      </c>
      <c r="I6" s="5">
        <f t="shared" si="1"/>
        <v>0.49666666666666665</v>
      </c>
      <c r="K6" s="3">
        <v>0.53</v>
      </c>
      <c r="L6" s="3">
        <v>0.52</v>
      </c>
      <c r="M6" s="3">
        <v>0.52</v>
      </c>
      <c r="N6" s="3">
        <v>0.52</v>
      </c>
      <c r="O6" s="3">
        <v>0.56000000000000005</v>
      </c>
      <c r="P6" s="3">
        <v>0.53</v>
      </c>
      <c r="Q6" s="5">
        <f t="shared" si="2"/>
        <v>0.52333333333333332</v>
      </c>
      <c r="R6" s="5">
        <f t="shared" si="3"/>
        <v>0.52999999999999992</v>
      </c>
    </row>
    <row r="7" spans="1:18" x14ac:dyDescent="0.4">
      <c r="A7" s="1" t="s">
        <v>6</v>
      </c>
      <c r="B7" s="3">
        <v>0.48</v>
      </c>
      <c r="C7" s="3">
        <v>0.49</v>
      </c>
      <c r="D7" s="3">
        <v>0.49</v>
      </c>
      <c r="E7" s="3">
        <v>0.48</v>
      </c>
      <c r="F7" s="3">
        <v>0.5</v>
      </c>
      <c r="G7" s="3"/>
      <c r="H7" s="5">
        <f t="shared" si="0"/>
        <v>0.48666666666666664</v>
      </c>
      <c r="I7" s="5">
        <f t="shared" si="1"/>
        <v>0.48799999999999999</v>
      </c>
      <c r="K7" s="3">
        <v>0.47</v>
      </c>
      <c r="L7" s="3">
        <v>0.46</v>
      </c>
      <c r="M7" s="3">
        <v>0.47</v>
      </c>
      <c r="N7" s="3">
        <v>0.49</v>
      </c>
      <c r="O7" s="3">
        <v>0.49</v>
      </c>
      <c r="P7" s="3">
        <v>0.48</v>
      </c>
      <c r="Q7" s="5">
        <f t="shared" si="2"/>
        <v>0.46666666666666662</v>
      </c>
      <c r="R7" s="5">
        <f t="shared" si="3"/>
        <v>0.47666666666666663</v>
      </c>
    </row>
    <row r="8" spans="1:18" x14ac:dyDescent="0.4">
      <c r="A8" s="1" t="s">
        <v>7</v>
      </c>
      <c r="B8" s="3">
        <v>0.39</v>
      </c>
      <c r="C8" s="3">
        <v>0.39</v>
      </c>
      <c r="D8" s="3">
        <v>0.39</v>
      </c>
      <c r="E8" s="3">
        <v>0.4</v>
      </c>
      <c r="F8" s="3">
        <v>0.39</v>
      </c>
      <c r="G8" s="3">
        <v>0.43</v>
      </c>
      <c r="H8" s="5">
        <f t="shared" si="0"/>
        <v>0.38999999999999996</v>
      </c>
      <c r="I8" s="5">
        <f t="shared" si="1"/>
        <v>0.39833333333333337</v>
      </c>
      <c r="K8" s="3">
        <v>0.48</v>
      </c>
      <c r="L8" s="3">
        <v>0.44</v>
      </c>
      <c r="M8" s="3">
        <v>0.45</v>
      </c>
      <c r="N8" s="3">
        <v>0.44</v>
      </c>
      <c r="O8" s="3">
        <v>0.45</v>
      </c>
      <c r="P8" s="3">
        <v>0.48</v>
      </c>
      <c r="Q8" s="5">
        <f t="shared" si="2"/>
        <v>0.45666666666666661</v>
      </c>
      <c r="R8" s="5">
        <f t="shared" si="3"/>
        <v>0.45666666666666661</v>
      </c>
    </row>
    <row r="10" spans="1:18" x14ac:dyDescent="0.4">
      <c r="A10" s="7" t="s">
        <v>13</v>
      </c>
      <c r="B10" s="8" t="s">
        <v>1</v>
      </c>
      <c r="H10" s="9" t="s">
        <v>9</v>
      </c>
      <c r="I10" s="9" t="s">
        <v>8</v>
      </c>
      <c r="K10" s="8" t="s">
        <v>11</v>
      </c>
      <c r="Q10" s="9" t="s">
        <v>9</v>
      </c>
      <c r="R10" s="9" t="s">
        <v>10</v>
      </c>
    </row>
    <row r="11" spans="1:18" x14ac:dyDescent="0.4">
      <c r="A11" t="s">
        <v>2</v>
      </c>
      <c r="B11" s="10">
        <v>2.54</v>
      </c>
      <c r="C11" s="10">
        <v>2.54</v>
      </c>
      <c r="D11" s="10">
        <v>2.59</v>
      </c>
      <c r="E11" s="10">
        <v>2.57</v>
      </c>
      <c r="F11" s="10">
        <v>2.5299999999999998</v>
      </c>
      <c r="G11" s="10">
        <v>2.58</v>
      </c>
      <c r="H11" s="11">
        <f>AVERAGE(B11:D11)</f>
        <v>2.5566666666666666</v>
      </c>
      <c r="I11" s="11">
        <f>AVERAGE(B11:G11)</f>
        <v>2.5583333333333331</v>
      </c>
      <c r="K11" s="10">
        <v>2.58</v>
      </c>
      <c r="L11" s="10">
        <v>2.59</v>
      </c>
      <c r="M11" s="10">
        <v>2.5499999999999998</v>
      </c>
      <c r="N11" s="10">
        <v>2.57</v>
      </c>
      <c r="O11" s="10">
        <v>2.5299999999999998</v>
      </c>
      <c r="P11" s="10">
        <v>2.6</v>
      </c>
      <c r="Q11" s="11">
        <f>AVERAGE(K11:M11)</f>
        <v>2.5733333333333333</v>
      </c>
      <c r="R11" s="11">
        <f>AVERAGE(K11:P11)</f>
        <v>2.57</v>
      </c>
    </row>
    <row r="12" spans="1:18" x14ac:dyDescent="0.4">
      <c r="A12" s="1" t="s">
        <v>3</v>
      </c>
      <c r="B12" s="10">
        <v>1.48</v>
      </c>
      <c r="C12" s="10">
        <v>1.51</v>
      </c>
      <c r="D12" s="10">
        <v>1.48</v>
      </c>
      <c r="E12" s="10">
        <v>1.44</v>
      </c>
      <c r="F12" s="10">
        <v>1.43</v>
      </c>
      <c r="G12" s="10">
        <v>1.47</v>
      </c>
      <c r="H12" s="11">
        <f t="shared" ref="H12:H18" si="4">AVERAGE(B12:D12)</f>
        <v>1.4900000000000002</v>
      </c>
      <c r="I12" s="11">
        <f t="shared" ref="I12:I18" si="5">AVERAGE(B12:G12)</f>
        <v>1.4683333333333335</v>
      </c>
      <c r="K12" s="10">
        <v>1.46</v>
      </c>
      <c r="L12" s="10">
        <v>1.46</v>
      </c>
      <c r="M12" s="10">
        <v>1.44</v>
      </c>
      <c r="N12" s="10">
        <v>1.47</v>
      </c>
      <c r="O12" s="10">
        <v>1.48</v>
      </c>
      <c r="P12" s="10">
        <v>1.44</v>
      </c>
      <c r="Q12" s="11">
        <f t="shared" ref="Q12:Q18" si="6">AVERAGE(K12:M12)</f>
        <v>1.4533333333333331</v>
      </c>
      <c r="R12" s="11">
        <f t="shared" ref="R12:R18" si="7">AVERAGE(K12:P12)</f>
        <v>1.458333333333333</v>
      </c>
    </row>
    <row r="13" spans="1:18" x14ac:dyDescent="0.4">
      <c r="A13" s="1" t="s">
        <v>4</v>
      </c>
      <c r="B13" s="10">
        <v>0.86</v>
      </c>
      <c r="C13" s="10">
        <v>0.87</v>
      </c>
      <c r="D13" s="10">
        <v>0.88</v>
      </c>
      <c r="E13" s="10">
        <v>0.86</v>
      </c>
      <c r="F13" s="10">
        <v>0.85</v>
      </c>
      <c r="G13" s="10">
        <v>0.87</v>
      </c>
      <c r="H13" s="11">
        <f t="shared" si="4"/>
        <v>0.87</v>
      </c>
      <c r="I13" s="11">
        <f t="shared" si="5"/>
        <v>0.86499999999999988</v>
      </c>
      <c r="K13" s="10">
        <v>0.9</v>
      </c>
      <c r="L13" s="10">
        <v>0.9</v>
      </c>
      <c r="M13" s="10">
        <v>0.92</v>
      </c>
      <c r="N13" s="10">
        <v>0.91</v>
      </c>
      <c r="O13" s="10">
        <v>0.93</v>
      </c>
      <c r="P13" s="10">
        <v>0.89</v>
      </c>
      <c r="Q13" s="11">
        <f t="shared" si="6"/>
        <v>0.90666666666666673</v>
      </c>
      <c r="R13" s="11">
        <f t="shared" si="7"/>
        <v>0.90833333333333333</v>
      </c>
    </row>
    <row r="14" spans="1:18" x14ac:dyDescent="0.4">
      <c r="A14" s="1" t="s">
        <v>5</v>
      </c>
      <c r="B14" s="10">
        <v>0.62</v>
      </c>
      <c r="C14" s="10">
        <v>0.67</v>
      </c>
      <c r="D14" s="10">
        <v>0.68</v>
      </c>
      <c r="E14" s="10">
        <v>0.69</v>
      </c>
      <c r="F14" s="10">
        <v>0.64</v>
      </c>
      <c r="G14" s="10">
        <v>0.66</v>
      </c>
      <c r="H14" s="11">
        <f t="shared" si="4"/>
        <v>0.65666666666666673</v>
      </c>
      <c r="I14" s="11">
        <f t="shared" si="5"/>
        <v>0.66</v>
      </c>
      <c r="K14" s="10">
        <v>0.64</v>
      </c>
      <c r="L14" s="10">
        <v>0.63</v>
      </c>
      <c r="M14" s="10">
        <v>0.66</v>
      </c>
      <c r="N14" s="10">
        <v>0.68</v>
      </c>
      <c r="O14" s="10">
        <v>0.65</v>
      </c>
      <c r="P14" s="10">
        <v>0.61</v>
      </c>
      <c r="Q14" s="11">
        <f t="shared" si="6"/>
        <v>0.64333333333333342</v>
      </c>
      <c r="R14" s="11">
        <f t="shared" si="7"/>
        <v>0.64500000000000002</v>
      </c>
    </row>
    <row r="15" spans="1:18" x14ac:dyDescent="0.4">
      <c r="A15" s="1" t="s">
        <v>6</v>
      </c>
      <c r="B15" s="10">
        <v>0.57999999999999996</v>
      </c>
      <c r="C15" s="10">
        <v>0.59</v>
      </c>
      <c r="D15" s="10">
        <v>0.59</v>
      </c>
      <c r="E15" s="10">
        <v>0.61</v>
      </c>
      <c r="F15" s="10">
        <v>0.6</v>
      </c>
      <c r="G15" s="10">
        <v>0.64</v>
      </c>
      <c r="H15" s="11">
        <f t="shared" si="4"/>
        <v>0.58666666666666656</v>
      </c>
      <c r="I15" s="11">
        <f t="shared" si="5"/>
        <v>0.60166666666666668</v>
      </c>
      <c r="K15" s="10">
        <v>0.55000000000000004</v>
      </c>
      <c r="L15" s="10">
        <v>0.56999999999999995</v>
      </c>
      <c r="M15" s="10">
        <v>0.6</v>
      </c>
      <c r="N15" s="10">
        <v>0.56000000000000005</v>
      </c>
      <c r="O15" s="10">
        <v>0.55000000000000004</v>
      </c>
      <c r="P15" s="10">
        <v>0.59</v>
      </c>
      <c r="Q15" s="11">
        <f t="shared" si="6"/>
        <v>0.57333333333333336</v>
      </c>
      <c r="R15" s="11">
        <f t="shared" si="7"/>
        <v>0.56999999999999995</v>
      </c>
    </row>
    <row r="16" spans="1:18" x14ac:dyDescent="0.4">
      <c r="A16" s="1" t="s">
        <v>7</v>
      </c>
      <c r="B16" s="10">
        <v>0.49</v>
      </c>
      <c r="C16" s="10">
        <v>0.49</v>
      </c>
      <c r="D16" s="10">
        <v>0.5</v>
      </c>
      <c r="E16" s="10">
        <v>0.48</v>
      </c>
      <c r="F16" s="10">
        <v>0.45</v>
      </c>
      <c r="G16" s="10">
        <v>0.52</v>
      </c>
      <c r="H16" s="11">
        <f t="shared" si="4"/>
        <v>0.49333333333333335</v>
      </c>
      <c r="I16" s="11">
        <f t="shared" si="5"/>
        <v>0.48833333333333334</v>
      </c>
      <c r="K16" s="10">
        <v>0.44</v>
      </c>
      <c r="L16" s="10">
        <v>0.51</v>
      </c>
      <c r="M16" s="10">
        <v>0.48</v>
      </c>
      <c r="N16" s="10">
        <v>0.47</v>
      </c>
      <c r="O16" s="10">
        <v>0.48</v>
      </c>
      <c r="P16" s="10">
        <v>0.46</v>
      </c>
      <c r="Q16" s="11">
        <f t="shared" si="6"/>
        <v>0.47666666666666663</v>
      </c>
      <c r="R16" s="11">
        <f t="shared" si="7"/>
        <v>0.47333333333333333</v>
      </c>
    </row>
    <row r="17" spans="1:27" x14ac:dyDescent="0.4">
      <c r="A17" s="1" t="s">
        <v>14</v>
      </c>
      <c r="B17" s="10">
        <v>0.43</v>
      </c>
      <c r="C17" s="10">
        <v>0.46</v>
      </c>
      <c r="D17" s="10">
        <v>0.42</v>
      </c>
      <c r="E17" s="10">
        <v>0.45</v>
      </c>
      <c r="F17" s="10">
        <v>0.46</v>
      </c>
      <c r="G17" s="10">
        <v>0.44</v>
      </c>
      <c r="H17" s="11">
        <f t="shared" si="4"/>
        <v>0.4366666666666667</v>
      </c>
      <c r="I17" s="11">
        <f t="shared" si="5"/>
        <v>0.44333333333333336</v>
      </c>
      <c r="K17" s="10">
        <v>0.46</v>
      </c>
      <c r="L17" s="10">
        <v>0.44</v>
      </c>
      <c r="M17" s="10">
        <v>0.48</v>
      </c>
      <c r="N17" s="10">
        <v>0.41</v>
      </c>
      <c r="O17" s="10">
        <v>0.45</v>
      </c>
      <c r="P17" s="10">
        <v>0.44</v>
      </c>
      <c r="Q17" s="11">
        <f t="shared" si="6"/>
        <v>0.45999999999999996</v>
      </c>
      <c r="R17" s="11">
        <f t="shared" si="7"/>
        <v>0.4466666666666666</v>
      </c>
    </row>
    <row r="18" spans="1:27" x14ac:dyDescent="0.4">
      <c r="A18" s="1" t="s">
        <v>15</v>
      </c>
      <c r="B18" s="10">
        <v>0.44</v>
      </c>
      <c r="C18" s="10">
        <v>0.43</v>
      </c>
      <c r="D18" s="10">
        <v>0.41</v>
      </c>
      <c r="E18" s="10">
        <v>0.42</v>
      </c>
      <c r="F18" s="10">
        <v>0.41</v>
      </c>
      <c r="G18" s="10">
        <v>0.44</v>
      </c>
      <c r="H18" s="11">
        <f t="shared" si="4"/>
        <v>0.42666666666666669</v>
      </c>
      <c r="I18" s="11">
        <f t="shared" si="5"/>
        <v>0.42499999999999999</v>
      </c>
      <c r="K18" s="10">
        <v>0.41</v>
      </c>
      <c r="L18" s="10">
        <v>0.43</v>
      </c>
      <c r="M18" s="10">
        <v>0.42</v>
      </c>
      <c r="N18" s="10">
        <v>0.4</v>
      </c>
      <c r="O18" s="10">
        <v>0.38</v>
      </c>
      <c r="P18" s="10">
        <v>0.37</v>
      </c>
      <c r="Q18" s="11">
        <f t="shared" si="6"/>
        <v>0.42</v>
      </c>
      <c r="R18" s="11">
        <f t="shared" si="7"/>
        <v>0.40166666666666667</v>
      </c>
    </row>
    <row r="19" spans="1:27" x14ac:dyDescent="0.4">
      <c r="A19" s="1"/>
      <c r="H19" s="16"/>
      <c r="I19" s="16"/>
      <c r="Q19" s="16"/>
      <c r="R19" s="16"/>
    </row>
    <row r="20" spans="1:27" x14ac:dyDescent="0.4">
      <c r="A20" s="1" t="s">
        <v>18</v>
      </c>
    </row>
    <row r="21" spans="1:27" x14ac:dyDescent="0.4">
      <c r="A21" s="15" t="s">
        <v>16</v>
      </c>
      <c r="B21" s="12" t="s">
        <v>1</v>
      </c>
      <c r="H21" s="12" t="s">
        <v>9</v>
      </c>
      <c r="I21" s="12" t="s">
        <v>8</v>
      </c>
      <c r="K21" s="12" t="s">
        <v>11</v>
      </c>
      <c r="Q21" s="12" t="s">
        <v>9</v>
      </c>
      <c r="R21" s="12" t="s">
        <v>8</v>
      </c>
      <c r="T21" s="12" t="s">
        <v>17</v>
      </c>
      <c r="U21" s="17" t="s">
        <v>19</v>
      </c>
      <c r="Z21" s="12" t="s">
        <v>9</v>
      </c>
      <c r="AA21" s="12" t="s">
        <v>8</v>
      </c>
    </row>
    <row r="22" spans="1:27" x14ac:dyDescent="0.4">
      <c r="A22" t="s">
        <v>2</v>
      </c>
      <c r="B22" s="13">
        <v>1.91</v>
      </c>
      <c r="C22" s="13">
        <v>1.94</v>
      </c>
      <c r="D22" s="13">
        <v>1.94</v>
      </c>
      <c r="E22" s="13">
        <v>1.95</v>
      </c>
      <c r="F22" s="13">
        <v>1.95</v>
      </c>
      <c r="G22" s="13">
        <v>1.94</v>
      </c>
      <c r="H22" s="14">
        <f>AVERAGE(B22:D22)</f>
        <v>1.9299999999999997</v>
      </c>
      <c r="I22" s="14">
        <f>AVERAGE(B22:G22)</f>
        <v>1.9383333333333332</v>
      </c>
      <c r="K22" s="13">
        <v>1.89</v>
      </c>
      <c r="L22" s="13">
        <v>1.92</v>
      </c>
      <c r="M22" s="13">
        <v>1.92</v>
      </c>
      <c r="N22" s="13">
        <v>1.93</v>
      </c>
      <c r="O22" s="13">
        <v>1.93</v>
      </c>
      <c r="P22" s="13">
        <v>1.93</v>
      </c>
      <c r="Q22" s="14">
        <f>AVERAGE(K22:M22)</f>
        <v>1.91</v>
      </c>
      <c r="R22" s="14">
        <f>AVERAGE(K22:P22)</f>
        <v>1.92</v>
      </c>
      <c r="T22" s="13">
        <v>2</v>
      </c>
      <c r="U22" s="13">
        <v>2.0499999999999998</v>
      </c>
      <c r="V22" s="13">
        <v>2.06</v>
      </c>
      <c r="W22" s="13">
        <v>2.0499999999999998</v>
      </c>
      <c r="X22" s="13">
        <v>2.0699999999999998</v>
      </c>
      <c r="Y22" s="13">
        <v>2.0699999999999998</v>
      </c>
      <c r="Z22" s="14">
        <f>AVERAGE(T22:V22)</f>
        <v>2.0366666666666666</v>
      </c>
      <c r="AA22" s="14">
        <f>AVERAGE(T22:Y22)</f>
        <v>2.0500000000000003</v>
      </c>
    </row>
    <row r="23" spans="1:27" x14ac:dyDescent="0.4">
      <c r="A23" s="1" t="s">
        <v>3</v>
      </c>
      <c r="B23" s="13">
        <v>1.1599999999999999</v>
      </c>
      <c r="C23" s="13">
        <v>1.17</v>
      </c>
      <c r="D23" s="13">
        <v>1.18</v>
      </c>
      <c r="E23" s="13">
        <v>1.18</v>
      </c>
      <c r="F23" s="13">
        <v>1.18</v>
      </c>
      <c r="G23" s="13">
        <v>1.19</v>
      </c>
      <c r="H23" s="14">
        <f t="shared" ref="H23:H27" si="8">AVERAGE(B23:D23)</f>
        <v>1.17</v>
      </c>
      <c r="I23" s="14">
        <f t="shared" ref="I23:I27" si="9">AVERAGE(B23:G23)</f>
        <v>1.1766666666666665</v>
      </c>
      <c r="K23" s="13">
        <v>1.18</v>
      </c>
      <c r="L23" s="13">
        <v>1.18</v>
      </c>
      <c r="M23" s="13">
        <v>1.18</v>
      </c>
      <c r="N23" s="13">
        <v>1.19</v>
      </c>
      <c r="O23" s="13">
        <v>1.2</v>
      </c>
      <c r="P23" s="13">
        <v>1.2</v>
      </c>
      <c r="Q23" s="14">
        <f t="shared" ref="Q23:Q27" si="10">AVERAGE(K23:M23)</f>
        <v>1.18</v>
      </c>
      <c r="R23" s="14">
        <f t="shared" ref="R23:R27" si="11">AVERAGE(K23:P23)</f>
        <v>1.1883333333333335</v>
      </c>
      <c r="T23" s="13">
        <v>1.17</v>
      </c>
      <c r="U23" s="13">
        <v>1.18</v>
      </c>
      <c r="V23" s="13">
        <v>1.18</v>
      </c>
      <c r="W23" s="13">
        <v>1.18</v>
      </c>
      <c r="X23" s="13">
        <v>1.19</v>
      </c>
      <c r="Y23" s="13">
        <v>1.18</v>
      </c>
      <c r="Z23" s="14">
        <f t="shared" ref="Z23:Z27" si="12">AVERAGE(T23:V23)</f>
        <v>1.1766666666666665</v>
      </c>
      <c r="AA23" s="14">
        <f t="shared" ref="AA23:AA27" si="13">AVERAGE(T23:Y23)</f>
        <v>1.1799999999999997</v>
      </c>
    </row>
    <row r="24" spans="1:27" x14ac:dyDescent="0.4">
      <c r="A24" s="1" t="s">
        <v>4</v>
      </c>
      <c r="B24" s="13">
        <v>0.77</v>
      </c>
      <c r="C24" s="13">
        <v>0.76</v>
      </c>
      <c r="D24" s="13">
        <v>0.76</v>
      </c>
      <c r="E24" s="13">
        <v>0.76</v>
      </c>
      <c r="F24" s="13">
        <v>0.77</v>
      </c>
      <c r="G24" s="13">
        <v>0.76</v>
      </c>
      <c r="H24" s="14">
        <f t="shared" si="8"/>
        <v>0.76333333333333331</v>
      </c>
      <c r="I24" s="14">
        <f t="shared" si="9"/>
        <v>0.76333333333333331</v>
      </c>
      <c r="K24" s="13">
        <v>0.8</v>
      </c>
      <c r="L24" s="13">
        <v>0.77</v>
      </c>
      <c r="M24" s="13">
        <v>0.78</v>
      </c>
      <c r="N24" s="13">
        <v>0.78</v>
      </c>
      <c r="O24" s="13">
        <v>0.78</v>
      </c>
      <c r="P24" s="13">
        <v>0.78</v>
      </c>
      <c r="Q24" s="14">
        <f t="shared" si="10"/>
        <v>0.78333333333333333</v>
      </c>
      <c r="R24" s="14">
        <f t="shared" si="11"/>
        <v>0.78166666666666673</v>
      </c>
      <c r="T24" s="13">
        <v>0.73</v>
      </c>
      <c r="U24" s="13">
        <v>0.75</v>
      </c>
      <c r="V24" s="13">
        <v>0.75</v>
      </c>
      <c r="W24" s="13">
        <v>0.76</v>
      </c>
      <c r="X24" s="13">
        <v>0.78</v>
      </c>
      <c r="Y24" s="13">
        <v>0.76</v>
      </c>
      <c r="Z24" s="14">
        <f t="shared" si="12"/>
        <v>0.74333333333333329</v>
      </c>
      <c r="AA24" s="14">
        <f t="shared" si="13"/>
        <v>0.755</v>
      </c>
    </row>
    <row r="25" spans="1:27" x14ac:dyDescent="0.4">
      <c r="A25" s="1" t="s">
        <v>5</v>
      </c>
      <c r="B25" s="13">
        <v>0.54</v>
      </c>
      <c r="C25" s="13">
        <v>0.54</v>
      </c>
      <c r="D25" s="13">
        <v>0.55000000000000004</v>
      </c>
      <c r="E25" s="13">
        <v>0.54</v>
      </c>
      <c r="F25" s="13">
        <v>0.54</v>
      </c>
      <c r="G25" s="13">
        <v>0.54</v>
      </c>
      <c r="H25" s="14">
        <f t="shared" si="8"/>
        <v>0.54333333333333333</v>
      </c>
      <c r="I25" s="14">
        <f t="shared" si="9"/>
        <v>0.54166666666666663</v>
      </c>
      <c r="K25" s="13">
        <v>0.62</v>
      </c>
      <c r="L25" s="13">
        <v>0.61</v>
      </c>
      <c r="M25" s="13">
        <v>0.61</v>
      </c>
      <c r="N25" s="13">
        <v>0.62</v>
      </c>
      <c r="O25" s="13">
        <v>0.62</v>
      </c>
      <c r="P25" s="13">
        <v>0.62</v>
      </c>
      <c r="Q25" s="14">
        <f t="shared" si="10"/>
        <v>0.61333333333333329</v>
      </c>
      <c r="R25" s="14">
        <f t="shared" si="11"/>
        <v>0.6166666666666667</v>
      </c>
      <c r="T25" s="13">
        <v>0.62</v>
      </c>
      <c r="U25" s="13">
        <v>0.61</v>
      </c>
      <c r="V25" s="13">
        <v>0.62</v>
      </c>
      <c r="W25" s="13">
        <v>0.62</v>
      </c>
      <c r="X25" s="13">
        <v>0.63</v>
      </c>
      <c r="Y25" s="13">
        <v>0.63</v>
      </c>
      <c r="Z25" s="14">
        <f t="shared" si="12"/>
        <v>0.6166666666666667</v>
      </c>
      <c r="AA25" s="14">
        <f t="shared" si="13"/>
        <v>0.6216666666666667</v>
      </c>
    </row>
    <row r="26" spans="1:27" x14ac:dyDescent="0.4">
      <c r="A26" s="1" t="s">
        <v>6</v>
      </c>
      <c r="B26" s="13">
        <v>0.47</v>
      </c>
      <c r="C26" s="13">
        <v>0.45</v>
      </c>
      <c r="D26" s="13">
        <v>0.46</v>
      </c>
      <c r="E26" s="13">
        <v>0.46</v>
      </c>
      <c r="F26" s="13">
        <v>0.46</v>
      </c>
      <c r="G26" s="13">
        <v>0.46</v>
      </c>
      <c r="H26" s="14">
        <f t="shared" si="8"/>
        <v>0.45999999999999996</v>
      </c>
      <c r="I26" s="14">
        <f t="shared" si="9"/>
        <v>0.45999999999999996</v>
      </c>
      <c r="K26" s="13">
        <v>0.6</v>
      </c>
      <c r="L26" s="13">
        <v>0.57999999999999996</v>
      </c>
      <c r="M26" s="13">
        <v>0.57999999999999996</v>
      </c>
      <c r="N26" s="13">
        <v>0.59</v>
      </c>
      <c r="O26" s="13">
        <v>0.59</v>
      </c>
      <c r="P26" s="13">
        <v>0.6</v>
      </c>
      <c r="Q26" s="14">
        <f t="shared" si="10"/>
        <v>0.58666666666666656</v>
      </c>
      <c r="R26" s="14">
        <f t="shared" si="11"/>
        <v>0.59</v>
      </c>
      <c r="T26" s="13">
        <v>0.47</v>
      </c>
      <c r="U26" s="13">
        <v>0.48</v>
      </c>
      <c r="V26" s="13">
        <v>0.48</v>
      </c>
      <c r="W26" s="13">
        <v>0.48</v>
      </c>
      <c r="X26" s="13">
        <v>0.48</v>
      </c>
      <c r="Y26" s="13">
        <v>0.47</v>
      </c>
      <c r="Z26" s="14">
        <f t="shared" si="12"/>
        <v>0.47666666666666663</v>
      </c>
      <c r="AA26" s="14">
        <f t="shared" si="13"/>
        <v>0.47666666666666657</v>
      </c>
    </row>
    <row r="27" spans="1:27" x14ac:dyDescent="0.4">
      <c r="A27" s="1" t="s">
        <v>7</v>
      </c>
      <c r="B27" s="13">
        <v>0.42</v>
      </c>
      <c r="C27" s="13">
        <v>0.42</v>
      </c>
      <c r="D27" s="13">
        <v>0.43</v>
      </c>
      <c r="E27" s="13">
        <v>0.44</v>
      </c>
      <c r="F27" s="13">
        <v>0.43</v>
      </c>
      <c r="G27" s="13">
        <v>0.43</v>
      </c>
      <c r="H27" s="14">
        <f t="shared" si="8"/>
        <v>0.42333333333333334</v>
      </c>
      <c r="I27" s="14">
        <f t="shared" si="9"/>
        <v>0.4283333333333334</v>
      </c>
      <c r="K27" s="13">
        <v>0.47</v>
      </c>
      <c r="L27" s="13">
        <v>0.47</v>
      </c>
      <c r="M27" s="13">
        <v>0.48</v>
      </c>
      <c r="N27" s="13">
        <v>0.47</v>
      </c>
      <c r="O27" s="13">
        <v>0.47</v>
      </c>
      <c r="P27" s="13">
        <v>0.47</v>
      </c>
      <c r="Q27" s="14">
        <f t="shared" si="10"/>
        <v>0.47333333333333333</v>
      </c>
      <c r="R27" s="14">
        <f t="shared" si="11"/>
        <v>0.47166666666666668</v>
      </c>
      <c r="T27" s="13">
        <v>0.43</v>
      </c>
      <c r="U27" s="13">
        <v>0.44</v>
      </c>
      <c r="V27" s="13">
        <v>0.44</v>
      </c>
      <c r="W27" s="13">
        <v>0.45</v>
      </c>
      <c r="X27" s="13">
        <v>0.44</v>
      </c>
      <c r="Y27" s="13">
        <v>0.44</v>
      </c>
      <c r="Z27" s="14">
        <f t="shared" si="12"/>
        <v>0.4366666666666667</v>
      </c>
      <c r="AA27" s="14">
        <f t="shared" si="13"/>
        <v>0.44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Andrei Dumitras</cp:lastModifiedBy>
  <dcterms:created xsi:type="dcterms:W3CDTF">2015-06-05T18:17:20Z</dcterms:created>
  <dcterms:modified xsi:type="dcterms:W3CDTF">2025-09-30T14:27:44Z</dcterms:modified>
</cp:coreProperties>
</file>